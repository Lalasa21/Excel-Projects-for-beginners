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b6505433d1c9e1c/Documents/Excel Projects/Sales Database/"/>
    </mc:Choice>
  </mc:AlternateContent>
  <xr:revisionPtr revIDLastSave="1" documentId="8_{A95FCB68-3131-41F1-8074-6FBCD4B7985B}" xr6:coauthVersionLast="47" xr6:coauthVersionMax="47" xr10:uidLastSave="{E46AB753-A25E-41E7-9B71-179780B0BACC}"/>
  <bookViews>
    <workbookView xWindow="-110" yWindow="-110" windowWidth="22620" windowHeight="13500" xr2:uid="{25CA2495-1443-4C4B-BDFD-740F5D7A5740}"/>
  </bookViews>
  <sheets>
    <sheet name="Sheet1" sheetId="1" r:id="rId1"/>
    <sheet name="Sheet2" sheetId="2" r:id="rId2"/>
  </sheets>
  <calcPr calcId="191029"/>
  <pivotCaches>
    <pivotCache cacheId="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87" i="1" l="1"/>
  <c r="F186" i="1"/>
  <c r="F185" i="1"/>
  <c r="H6" i="1"/>
  <c r="H8" i="1"/>
  <c r="H11" i="1"/>
  <c r="H12" i="1"/>
  <c r="H35" i="1"/>
  <c r="H36" i="1"/>
  <c r="H37" i="1"/>
  <c r="H38" i="1"/>
  <c r="H39" i="1"/>
  <c r="H41" i="1"/>
  <c r="H51" i="1"/>
  <c r="H73" i="1"/>
  <c r="H84" i="1"/>
  <c r="H85" i="1"/>
  <c r="H105" i="1"/>
  <c r="H115" i="1"/>
  <c r="H116" i="1"/>
  <c r="H137" i="1"/>
  <c r="H147" i="1"/>
  <c r="H148" i="1"/>
  <c r="H149" i="1"/>
  <c r="H150" i="1"/>
  <c r="H153" i="1"/>
  <c r="G3" i="1"/>
  <c r="H3" i="1" s="1"/>
  <c r="G4" i="1"/>
  <c r="H4" i="1" s="1"/>
  <c r="G5" i="1"/>
  <c r="H5" i="1" s="1"/>
  <c r="G6" i="1"/>
  <c r="G7" i="1"/>
  <c r="H7" i="1" s="1"/>
  <c r="G8" i="1"/>
  <c r="G9" i="1"/>
  <c r="H9" i="1" s="1"/>
  <c r="G10" i="1"/>
  <c r="H10" i="1" s="1"/>
  <c r="G11" i="1"/>
  <c r="G12" i="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G36" i="1"/>
  <c r="G37" i="1"/>
  <c r="G38" i="1"/>
  <c r="G39" i="1"/>
  <c r="G40" i="1"/>
  <c r="H40" i="1" s="1"/>
  <c r="G41" i="1"/>
  <c r="G42" i="1"/>
  <c r="H42" i="1" s="1"/>
  <c r="G43" i="1"/>
  <c r="H43" i="1" s="1"/>
  <c r="G44" i="1"/>
  <c r="H44" i="1" s="1"/>
  <c r="G45" i="1"/>
  <c r="H45" i="1" s="1"/>
  <c r="G46" i="1"/>
  <c r="H46" i="1" s="1"/>
  <c r="G47" i="1"/>
  <c r="H47" i="1" s="1"/>
  <c r="G48" i="1"/>
  <c r="H48" i="1" s="1"/>
  <c r="G49" i="1"/>
  <c r="H49" i="1" s="1"/>
  <c r="G50" i="1"/>
  <c r="H50" i="1" s="1"/>
  <c r="G51" i="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G74" i="1"/>
  <c r="H74" i="1" s="1"/>
  <c r="G75" i="1"/>
  <c r="H75" i="1" s="1"/>
  <c r="G76" i="1"/>
  <c r="H76" i="1" s="1"/>
  <c r="G77" i="1"/>
  <c r="H77" i="1" s="1"/>
  <c r="G78" i="1"/>
  <c r="H78" i="1" s="1"/>
  <c r="G79" i="1"/>
  <c r="H79" i="1" s="1"/>
  <c r="G80" i="1"/>
  <c r="H80" i="1" s="1"/>
  <c r="G81" i="1"/>
  <c r="H81" i="1" s="1"/>
  <c r="G82" i="1"/>
  <c r="H82" i="1" s="1"/>
  <c r="G83" i="1"/>
  <c r="H83" i="1" s="1"/>
  <c r="G84" i="1"/>
  <c r="G85" i="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G106" i="1"/>
  <c r="H106" i="1" s="1"/>
  <c r="G107" i="1"/>
  <c r="H107" i="1" s="1"/>
  <c r="G108" i="1"/>
  <c r="H108" i="1" s="1"/>
  <c r="G109" i="1"/>
  <c r="H109" i="1" s="1"/>
  <c r="G110" i="1"/>
  <c r="H110" i="1" s="1"/>
  <c r="G111" i="1"/>
  <c r="H111" i="1" s="1"/>
  <c r="G112" i="1"/>
  <c r="H112" i="1" s="1"/>
  <c r="G113" i="1"/>
  <c r="H113" i="1" s="1"/>
  <c r="G114" i="1"/>
  <c r="H114" i="1" s="1"/>
  <c r="G115" i="1"/>
  <c r="G116" i="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G138" i="1"/>
  <c r="H138" i="1" s="1"/>
  <c r="G139" i="1"/>
  <c r="H139" i="1" s="1"/>
  <c r="G140" i="1"/>
  <c r="H140" i="1" s="1"/>
  <c r="G141" i="1"/>
  <c r="H141" i="1" s="1"/>
  <c r="G142" i="1"/>
  <c r="H142" i="1" s="1"/>
  <c r="G143" i="1"/>
  <c r="H143" i="1" s="1"/>
  <c r="G144" i="1"/>
  <c r="H144" i="1" s="1"/>
  <c r="G145" i="1"/>
  <c r="H145" i="1" s="1"/>
  <c r="G146" i="1"/>
  <c r="H146" i="1" s="1"/>
  <c r="G147" i="1"/>
  <c r="G148" i="1"/>
  <c r="G149" i="1"/>
  <c r="G150" i="1"/>
  <c r="G151" i="1"/>
  <c r="H151" i="1" s="1"/>
  <c r="G152" i="1"/>
  <c r="H152" i="1" s="1"/>
  <c r="G153" i="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2" i="1"/>
  <c r="H2" i="1" s="1"/>
</calcChain>
</file>

<file path=xl/sharedStrings.xml><?xml version="1.0" encoding="utf-8"?>
<sst xmlns="http://schemas.openxmlformats.org/spreadsheetml/2006/main" count="1067" uniqueCount="77">
  <si>
    <t>Month</t>
  </si>
  <si>
    <t>Transaction Number</t>
  </si>
  <si>
    <t>Product Code</t>
  </si>
  <si>
    <t>Product Description</t>
  </si>
  <si>
    <t>Store Cost</t>
  </si>
  <si>
    <t>Sale Price</t>
  </si>
  <si>
    <t>Profit</t>
  </si>
  <si>
    <t>Sales Person</t>
  </si>
  <si>
    <t>Sale Location</t>
  </si>
  <si>
    <t>Jan</t>
  </si>
  <si>
    <t>Pool Cover</t>
  </si>
  <si>
    <t>Chalie Barns</t>
  </si>
  <si>
    <t>NM</t>
  </si>
  <si>
    <t>Net</t>
  </si>
  <si>
    <t>Juan Hernandez</t>
  </si>
  <si>
    <t>CA</t>
  </si>
  <si>
    <t>8 ft Hose</t>
  </si>
  <si>
    <t>Doug Smith</t>
  </si>
  <si>
    <t>AZ</t>
  </si>
  <si>
    <t>Water Pump</t>
  </si>
  <si>
    <t>Chlorine Test Kit</t>
  </si>
  <si>
    <t>Hellen Johnson</t>
  </si>
  <si>
    <t>CO</t>
  </si>
  <si>
    <t>Skimmer</t>
  </si>
  <si>
    <t>1 Gal Muratic Acid</t>
  </si>
  <si>
    <t>Feb</t>
  </si>
  <si>
    <t>AutoVac</t>
  </si>
  <si>
    <t>NV</t>
  </si>
  <si>
    <t>UT</t>
  </si>
  <si>
    <t>Algea Killer 8 oz</t>
  </si>
  <si>
    <t>Mar</t>
  </si>
  <si>
    <t>5 Gal Chlorine</t>
  </si>
  <si>
    <t>April</t>
  </si>
  <si>
    <t>May</t>
  </si>
  <si>
    <t>June</t>
  </si>
  <si>
    <t>July</t>
  </si>
  <si>
    <t>Aug</t>
  </si>
  <si>
    <t>Sept</t>
  </si>
  <si>
    <t>Oct</t>
  </si>
  <si>
    <t>Nov</t>
  </si>
  <si>
    <t>Dec</t>
  </si>
  <si>
    <t>Sum of all items</t>
  </si>
  <si>
    <t>Sum of items valued at more than $50</t>
  </si>
  <si>
    <t>Sum of items valued at $50 or less</t>
  </si>
  <si>
    <t>TO-DO</t>
  </si>
  <si>
    <t>IF</t>
  </si>
  <si>
    <t>SORT</t>
  </si>
  <si>
    <t>FILTER</t>
  </si>
  <si>
    <t>PIE CHART</t>
  </si>
  <si>
    <t>TEXT  TO COLUMNS-split Sales Person name into first name and last name</t>
  </si>
  <si>
    <t>SUMIF-calaculate sum based on  certain criteria condition</t>
  </si>
  <si>
    <t xml:space="preserve">PIVOT TABLES -  can provide output as NO OF SALES THAT EACH EMPLOYEE MAKE </t>
  </si>
  <si>
    <t>FORMULAS</t>
  </si>
  <si>
    <t>To see full text ,we use Wrap text function</t>
  </si>
  <si>
    <t>Chalie</t>
  </si>
  <si>
    <t>Barns</t>
  </si>
  <si>
    <t>Juan</t>
  </si>
  <si>
    <t>Hernandez</t>
  </si>
  <si>
    <t>Doug</t>
  </si>
  <si>
    <t>Smith</t>
  </si>
  <si>
    <t>Hellen</t>
  </si>
  <si>
    <t>Johnson</t>
  </si>
  <si>
    <t>To split sales person column into first and last names,we select the column&gt;goto Data&gt;select "Text to Columns"&gt;select delimiter as Space</t>
  </si>
  <si>
    <t>First Name</t>
  </si>
  <si>
    <t>Last Name</t>
  </si>
  <si>
    <t>To calculate Profit,we use formula as Sale Price - Store Cost</t>
  </si>
  <si>
    <t>Commision 10% for items less than $50. 20% for items more than $50.</t>
  </si>
  <si>
    <t>To calculate Commision according to condition,we use if condition like if sales price is more than $50,then profit*0.2.If false,profit*0.1</t>
  </si>
  <si>
    <t>If there are plenty rows such that it is difficult to drag and apply formula,then select the first row,and continue to click shift on keyboard and at last click on the last cell.Then the entire area gets selected.Now to fill the data,click on fill in home tab&gt;down</t>
  </si>
  <si>
    <r>
      <t xml:space="preserve">To calculate sum with "more than" condition,formula is like </t>
    </r>
    <r>
      <rPr>
        <b/>
        <sz val="11"/>
        <color theme="1"/>
        <rFont val="Aptos Narrow"/>
        <family val="2"/>
        <scheme val="minor"/>
      </rPr>
      <t>=SUMIF(F2:F172,"&gt;50") and if "less than or equal to"</t>
    </r>
    <r>
      <rPr>
        <sz val="11"/>
        <color theme="1"/>
        <rFont val="Aptos Narrow"/>
        <family val="2"/>
        <scheme val="minor"/>
      </rPr>
      <t xml:space="preserve"> </t>
    </r>
    <r>
      <rPr>
        <b/>
        <sz val="11"/>
        <color theme="1"/>
        <rFont val="Aptos Narrow"/>
        <family val="2"/>
        <scheme val="minor"/>
      </rPr>
      <t>=SUMIF(F2:F172,"&lt;=50")</t>
    </r>
  </si>
  <si>
    <t>Pivot tables are used to summarize a large group of data</t>
  </si>
  <si>
    <t>Sales figures for each of the sales people</t>
  </si>
  <si>
    <t>Row Labels</t>
  </si>
  <si>
    <t>Grand Total</t>
  </si>
  <si>
    <t>Sum of Sale Price</t>
  </si>
  <si>
    <t>To create pivot table and pie chart,select the entire table data excluding headers and later goto insert&gt;pivot table and creates new sheet.Then select required fields to show the summarised data and table gets created.</t>
  </si>
  <si>
    <t>To create pie chart for the above data,select the sum and in insert&gt;select pie 3D chart.Then if required change style and colour and also chart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</si>
</sst>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5" formatCode="_(* #,##0_);_(* \(#,##0\);_(* &quot;-&quot;??_);_(@_)"/>
    <numFmt numFmtId="166" formatCode="_-[$$-409]* #,##0.00_ ;_-[$$-409]* \-#,##0.00\ ;_-[$$-409]* &quot;-&quot;??_ ;_-@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C000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4" fontId="0" fillId="0" borderId="0" xfId="1" applyNumberFormat="1" applyFont="1"/>
    <xf numFmtId="165" fontId="0" fillId="0" borderId="0" xfId="1" applyNumberFormat="1" applyFont="1"/>
    <xf numFmtId="166" fontId="0" fillId="0" borderId="0" xfId="0" applyNumberFormat="1"/>
    <xf numFmtId="14" fontId="2" fillId="2" borderId="0" xfId="1" applyNumberFormat="1" applyFont="1" applyFill="1"/>
    <xf numFmtId="14" fontId="0" fillId="2" borderId="0" xfId="1" applyNumberFormat="1" applyFont="1" applyFill="1"/>
    <xf numFmtId="0" fontId="0" fillId="0" borderId="0" xfId="0" applyAlignment="1">
      <alignment wrapText="1"/>
    </xf>
    <xf numFmtId="166" fontId="0" fillId="0" borderId="0" xfId="0" applyNumberFormat="1" applyAlignment="1">
      <alignment wrapText="1"/>
    </xf>
    <xf numFmtId="0" fontId="0" fillId="3" borderId="0" xfId="0" applyFill="1"/>
    <xf numFmtId="166" fontId="0" fillId="3" borderId="0" xfId="0" applyNumberFormat="1" applyFill="1"/>
    <xf numFmtId="0" fontId="0" fillId="4" borderId="0" xfId="0" applyFill="1" applyAlignment="1">
      <alignment wrapText="1"/>
    </xf>
    <xf numFmtId="0" fontId="0" fillId="4" borderId="0" xfId="0" applyFill="1"/>
    <xf numFmtId="0" fontId="0" fillId="0" borderId="0" xfId="0" applyFill="1"/>
    <xf numFmtId="0" fontId="0" fillId="0" borderId="0" xfId="0" pivotButton="1"/>
    <xf numFmtId="0" fontId="0" fillId="0" borderId="0" xfId="0"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Database.xlsx]Sheet2!PivotTable1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dPt>
          <c:dPt>
            <c:idx val="1"/>
            <c:bubble3D val="0"/>
            <c:spPr>
              <a:solidFill>
                <a:schemeClr val="accent4"/>
              </a:solidFill>
              <a:ln w="25400">
                <a:solidFill>
                  <a:schemeClr val="lt1"/>
                </a:solidFill>
              </a:ln>
              <a:effectLst/>
              <a:sp3d contourW="25400">
                <a:contourClr>
                  <a:schemeClr val="lt1"/>
                </a:contourClr>
              </a:sp3d>
            </c:spPr>
          </c:dPt>
          <c:dPt>
            <c:idx val="2"/>
            <c:bubble3D val="0"/>
            <c:spPr>
              <a:solidFill>
                <a:schemeClr val="accent6"/>
              </a:solidFill>
              <a:ln w="25400">
                <a:solidFill>
                  <a:schemeClr val="lt1"/>
                </a:solidFill>
              </a:ln>
              <a:effectLst/>
              <a:sp3d contourW="25400">
                <a:contourClr>
                  <a:schemeClr val="lt1"/>
                </a:contourClr>
              </a:sp3d>
            </c:spPr>
          </c:dPt>
          <c:dPt>
            <c:idx val="3"/>
            <c:bubble3D val="0"/>
            <c:spPr>
              <a:solidFill>
                <a:schemeClr val="accent2">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Barns</c:v>
                </c:pt>
                <c:pt idx="1">
                  <c:v>Hernandez</c:v>
                </c:pt>
                <c:pt idx="2">
                  <c:v>Johnson</c:v>
                </c:pt>
                <c:pt idx="3">
                  <c:v>Smith</c:v>
                </c:pt>
              </c:strCache>
            </c:strRef>
          </c:cat>
          <c:val>
            <c:numRef>
              <c:f>Sheet2!$B$4:$B$8</c:f>
              <c:numCache>
                <c:formatCode>_-[$$-409]* #,##0.00_ ;_-[$$-409]* \-#,##0.00\ ;_-[$$-409]* "-"??_ ;_-@_ </c:formatCode>
                <c:ptCount val="4"/>
                <c:pt idx="0">
                  <c:v>6003.5</c:v>
                </c:pt>
                <c:pt idx="1">
                  <c:v>2410.7000000000003</c:v>
                </c:pt>
                <c:pt idx="2">
                  <c:v>3035.3</c:v>
                </c:pt>
                <c:pt idx="3">
                  <c:v>5661.0999999999985</c:v>
                </c:pt>
              </c:numCache>
            </c:numRef>
          </c:val>
          <c:extLst>
            <c:ext xmlns:c16="http://schemas.microsoft.com/office/drawing/2014/chart" uri="{C3380CC4-5D6E-409C-BE32-E72D297353CC}">
              <c16:uniqueId val="{00000000-4686-4FCA-AA3A-A90646D391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250825</xdr:colOff>
      <xdr:row>7</xdr:row>
      <xdr:rowOff>177800</xdr:rowOff>
    </xdr:from>
    <xdr:to>
      <xdr:col>13</xdr:col>
      <xdr:colOff>193675</xdr:colOff>
      <xdr:row>22</xdr:row>
      <xdr:rowOff>158750</xdr:rowOff>
    </xdr:to>
    <xdr:graphicFrame macro="">
      <xdr:nvGraphicFramePr>
        <xdr:cNvPr id="2" name="Chart 1">
          <a:extLst>
            <a:ext uri="{FF2B5EF4-FFF2-40B4-BE49-F238E27FC236}">
              <a16:creationId xmlns:a16="http://schemas.microsoft.com/office/drawing/2014/main" id="{D200C59C-BB5F-48B3-CBA2-FE36FE654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refreshedDate="46128.708397337963" createdVersion="8" refreshedVersion="8" minRefreshableVersion="3" recordCount="171" xr:uid="{768AC6C6-0780-4C45-933D-ACFD137AA572}">
  <cacheSource type="worksheet">
    <worksheetSource ref="A1:K172" sheet="Sheet1"/>
  </cacheSource>
  <cacheFields count="11">
    <cacheField name="Month" numFmtId="14">
      <sharedItems/>
    </cacheField>
    <cacheField name="Transaction Number" numFmtId="165">
      <sharedItems containsSemiMixedTypes="0" containsString="0" containsNumber="1" containsInteger="1" minValue="1001" maxValue="1171"/>
    </cacheField>
    <cacheField name="Product Code" numFmtId="0">
      <sharedItems containsSemiMixedTypes="0" containsString="0" containsNumber="1" containsInteger="1" minValue="1109" maxValue="9822"/>
    </cacheField>
    <cacheField name="Product Description" numFmtId="0">
      <sharedItems/>
    </cacheField>
    <cacheField name="Store Cost" numFmtId="166">
      <sharedItems containsSemiMixedTypes="0" containsString="0" containsNumber="1" minValue="3" maxValue="344"/>
    </cacheField>
    <cacheField name="Sale Price" numFmtId="166">
      <sharedItems containsSemiMixedTypes="0" containsString="0" containsNumber="1" minValue="7" maxValue="502" count="10">
        <n v="98.4"/>
        <n v="16.3"/>
        <n v="9.1999999999999993"/>
        <n v="502"/>
        <n v="8"/>
        <n v="87"/>
        <n v="7"/>
        <n v="124"/>
        <n v="14"/>
        <n v="77"/>
      </sharedItems>
    </cacheField>
    <cacheField name="Profit" numFmtId="166">
      <sharedItems containsSemiMixedTypes="0" containsString="0" containsNumber="1" minValue="2.9999999999999991" maxValue="158"/>
    </cacheField>
    <cacheField name="Commision 10% for items less than $50. 20% for items more than $50." numFmtId="166">
      <sharedItems containsSemiMixedTypes="0" containsString="0" containsNumber="1" minValue="0.29999999999999993" maxValue="31.6"/>
    </cacheField>
    <cacheField name="First Name" numFmtId="0">
      <sharedItems/>
    </cacheField>
    <cacheField name="Last Name" numFmtId="0">
      <sharedItems count="4">
        <s v="Barns"/>
        <s v="Hernandez"/>
        <s v="Smith"/>
        <s v="Johnson"/>
      </sharedItems>
    </cacheField>
    <cacheField name="Sale Loca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s v="Jan"/>
    <n v="1001"/>
    <n v="9822"/>
    <s v="Pool Cover"/>
    <n v="58.3"/>
    <x v="0"/>
    <n v="40.100000000000009"/>
    <n v="8.0200000000000014"/>
    <s v="Chalie"/>
    <x v="0"/>
    <s v="NM"/>
  </r>
  <r>
    <s v="Jan"/>
    <n v="1002"/>
    <n v="2877"/>
    <s v="Net"/>
    <n v="11.4"/>
    <x v="1"/>
    <n v="4.9000000000000004"/>
    <n v="0.49000000000000005"/>
    <s v="Juan"/>
    <x v="1"/>
    <s v="CA"/>
  </r>
  <r>
    <s v="Jan"/>
    <n v="1003"/>
    <n v="2499"/>
    <s v="8 ft Hose"/>
    <n v="6.2"/>
    <x v="2"/>
    <n v="2.9999999999999991"/>
    <n v="0.29999999999999993"/>
    <s v="Doug"/>
    <x v="2"/>
    <s v="AZ"/>
  </r>
  <r>
    <s v="Jan"/>
    <n v="1004"/>
    <n v="8722"/>
    <s v="Water Pump"/>
    <n v="344"/>
    <x v="3"/>
    <n v="158"/>
    <n v="31.6"/>
    <s v="Chalie"/>
    <x v="0"/>
    <s v="AZ"/>
  </r>
  <r>
    <s v="Jan"/>
    <n v="1005"/>
    <n v="1109"/>
    <s v="Chlorine Test Kit"/>
    <n v="3"/>
    <x v="4"/>
    <n v="5"/>
    <n v="0.5"/>
    <s v="Doug"/>
    <x v="2"/>
    <s v="AZ"/>
  </r>
  <r>
    <s v="Jan"/>
    <n v="1006"/>
    <n v="9822"/>
    <s v="Pool Cover"/>
    <n v="58.3"/>
    <x v="0"/>
    <n v="40.100000000000009"/>
    <n v="8.0200000000000014"/>
    <s v="Doug"/>
    <x v="2"/>
    <s v="AZ"/>
  </r>
  <r>
    <s v="Jan"/>
    <n v="1007"/>
    <n v="1109"/>
    <s v="Chlorine Test Kit"/>
    <n v="3"/>
    <x v="4"/>
    <n v="5"/>
    <n v="0.5"/>
    <s v="Hellen"/>
    <x v="3"/>
    <s v="NM"/>
  </r>
  <r>
    <s v="Jan"/>
    <n v="1008"/>
    <n v="2877"/>
    <s v="Net"/>
    <n v="11.4"/>
    <x v="1"/>
    <n v="4.9000000000000004"/>
    <n v="0.49000000000000005"/>
    <s v="Doug"/>
    <x v="2"/>
    <s v="NM"/>
  </r>
  <r>
    <s v="Jan"/>
    <n v="1009"/>
    <n v="1109"/>
    <s v="Chlorine Test Kit"/>
    <n v="3"/>
    <x v="4"/>
    <n v="5"/>
    <n v="0.5"/>
    <s v="Doug"/>
    <x v="2"/>
    <s v="AZ"/>
  </r>
  <r>
    <s v="Jan"/>
    <n v="1010"/>
    <n v="2877"/>
    <s v="Net"/>
    <n v="11.4"/>
    <x v="1"/>
    <n v="4.9000000000000004"/>
    <n v="0.49000000000000005"/>
    <s v="Juan"/>
    <x v="1"/>
    <s v="CO"/>
  </r>
  <r>
    <s v="Jan"/>
    <n v="1011"/>
    <n v="2877"/>
    <s v="Net"/>
    <n v="11.4"/>
    <x v="1"/>
    <n v="4.9000000000000004"/>
    <n v="0.49000000000000005"/>
    <s v="Juan"/>
    <x v="1"/>
    <s v="AZ"/>
  </r>
  <r>
    <s v="Jan"/>
    <n v="1012"/>
    <n v="4421"/>
    <s v="Skimmer"/>
    <n v="45"/>
    <x v="5"/>
    <n v="42"/>
    <n v="8.4"/>
    <s v="Doug"/>
    <x v="2"/>
    <s v="NM"/>
  </r>
  <r>
    <s v="Jan"/>
    <n v="1013"/>
    <n v="9212"/>
    <s v="1 Gal Muratic Acid"/>
    <n v="4"/>
    <x v="6"/>
    <n v="3"/>
    <n v="0.30000000000000004"/>
    <s v="Hellen"/>
    <x v="3"/>
    <s v="CO"/>
  </r>
  <r>
    <s v="Jan"/>
    <n v="1014"/>
    <n v="8722"/>
    <s v="Water Pump"/>
    <n v="344"/>
    <x v="3"/>
    <n v="158"/>
    <n v="31.6"/>
    <s v="Chalie"/>
    <x v="0"/>
    <s v="CA"/>
  </r>
  <r>
    <s v="Jan"/>
    <n v="1015"/>
    <n v="2877"/>
    <s v="Net"/>
    <n v="11.4"/>
    <x v="1"/>
    <n v="4.9000000000000004"/>
    <n v="0.49000000000000005"/>
    <s v="Hellen"/>
    <x v="3"/>
    <s v="AZ"/>
  </r>
  <r>
    <s v="Jan"/>
    <n v="1016"/>
    <n v="2499"/>
    <s v="8 ft Hose"/>
    <n v="6.2"/>
    <x v="2"/>
    <n v="2.9999999999999991"/>
    <n v="0.29999999999999993"/>
    <s v="Doug"/>
    <x v="2"/>
    <s v="CA"/>
  </r>
  <r>
    <s v="Feb"/>
    <n v="1017"/>
    <n v="2242"/>
    <s v="AutoVac"/>
    <n v="60"/>
    <x v="7"/>
    <n v="64"/>
    <n v="12.8"/>
    <s v="Juan"/>
    <x v="1"/>
    <s v="NM"/>
  </r>
  <r>
    <s v="Feb"/>
    <n v="1018"/>
    <n v="1109"/>
    <s v="Chlorine Test Kit"/>
    <n v="3"/>
    <x v="4"/>
    <n v="5"/>
    <n v="0.5"/>
    <s v="Doug"/>
    <x v="2"/>
    <s v="CA"/>
  </r>
  <r>
    <s v="Feb"/>
    <n v="1019"/>
    <n v="2499"/>
    <s v="8 ft Hose"/>
    <n v="6.2"/>
    <x v="2"/>
    <n v="2.9999999999999991"/>
    <n v="0.29999999999999993"/>
    <s v="Doug"/>
    <x v="2"/>
    <s v="CO"/>
  </r>
  <r>
    <s v="Feb"/>
    <n v="1020"/>
    <n v="2499"/>
    <s v="8 ft Hose"/>
    <n v="6.2"/>
    <x v="2"/>
    <n v="2.9999999999999991"/>
    <n v="0.29999999999999993"/>
    <s v="Doug"/>
    <x v="2"/>
    <s v="NV"/>
  </r>
  <r>
    <s v="Feb"/>
    <n v="1021"/>
    <n v="1109"/>
    <s v="Chlorine Test Kit"/>
    <n v="3"/>
    <x v="4"/>
    <n v="5"/>
    <n v="0.5"/>
    <s v="Juan"/>
    <x v="1"/>
    <s v="CO"/>
  </r>
  <r>
    <s v="Feb"/>
    <n v="1022"/>
    <n v="2877"/>
    <s v="Net"/>
    <n v="11.4"/>
    <x v="1"/>
    <n v="4.9000000000000004"/>
    <n v="0.49000000000000005"/>
    <s v="Doug"/>
    <x v="2"/>
    <s v="UT"/>
  </r>
  <r>
    <s v="Feb"/>
    <n v="1023"/>
    <n v="1109"/>
    <s v="Chlorine Test Kit"/>
    <n v="3"/>
    <x v="4"/>
    <n v="5"/>
    <n v="0.5"/>
    <s v="Hellen"/>
    <x v="3"/>
    <s v="NM"/>
  </r>
  <r>
    <s v="Feb"/>
    <n v="1024"/>
    <n v="9212"/>
    <s v="1 Gal Muratic Acid"/>
    <n v="4"/>
    <x v="6"/>
    <n v="3"/>
    <n v="0.30000000000000004"/>
    <s v="Juan"/>
    <x v="1"/>
    <s v="UT"/>
  </r>
  <r>
    <s v="Feb"/>
    <n v="1025"/>
    <n v="2877"/>
    <s v="Net"/>
    <n v="11.4"/>
    <x v="1"/>
    <n v="4.9000000000000004"/>
    <n v="0.49000000000000005"/>
    <s v="Hellen"/>
    <x v="3"/>
    <s v="NV"/>
  </r>
  <r>
    <s v="Feb"/>
    <n v="1026"/>
    <n v="6119"/>
    <s v="Algea Killer 8 oz"/>
    <n v="9"/>
    <x v="8"/>
    <n v="5"/>
    <n v="0.5"/>
    <s v="Hellen"/>
    <x v="3"/>
    <s v="NM"/>
  </r>
  <r>
    <s v="Feb"/>
    <n v="1027"/>
    <n v="6119"/>
    <s v="Algea Killer 8 oz"/>
    <n v="9"/>
    <x v="8"/>
    <n v="5"/>
    <n v="0.5"/>
    <s v="Chalie"/>
    <x v="0"/>
    <s v="NV"/>
  </r>
  <r>
    <s v="Feb"/>
    <n v="1028"/>
    <n v="8722"/>
    <s v="Water Pump"/>
    <n v="344"/>
    <x v="3"/>
    <n v="158"/>
    <n v="31.6"/>
    <s v="Chalie"/>
    <x v="0"/>
    <s v="AZ"/>
  </r>
  <r>
    <s v="Feb"/>
    <n v="1029"/>
    <n v="2499"/>
    <s v="8 ft Hose"/>
    <n v="6.2"/>
    <x v="2"/>
    <n v="2.9999999999999991"/>
    <n v="0.29999999999999993"/>
    <s v="Juan"/>
    <x v="1"/>
    <s v="AZ"/>
  </r>
  <r>
    <s v="Feb"/>
    <n v="1030"/>
    <n v="4421"/>
    <s v="Skimmer"/>
    <n v="45"/>
    <x v="5"/>
    <n v="42"/>
    <n v="8.4"/>
    <s v="Juan"/>
    <x v="1"/>
    <s v="NV"/>
  </r>
  <r>
    <s v="Feb"/>
    <n v="1031"/>
    <n v="1109"/>
    <s v="Chlorine Test Kit"/>
    <n v="3"/>
    <x v="4"/>
    <n v="5"/>
    <n v="0.5"/>
    <s v="Juan"/>
    <x v="1"/>
    <s v="CA"/>
  </r>
  <r>
    <s v="Feb"/>
    <n v="1032"/>
    <n v="2877"/>
    <s v="Net"/>
    <n v="11.4"/>
    <x v="1"/>
    <n v="4.9000000000000004"/>
    <n v="0.49000000000000005"/>
    <s v="Chalie"/>
    <x v="0"/>
    <s v="AZ"/>
  </r>
  <r>
    <s v="Feb"/>
    <n v="1033"/>
    <n v="9822"/>
    <s v="Pool Cover"/>
    <n v="58.3"/>
    <x v="0"/>
    <n v="40.100000000000009"/>
    <n v="8.0200000000000014"/>
    <s v="Juan"/>
    <x v="1"/>
    <s v="CA"/>
  </r>
  <r>
    <s v="Feb"/>
    <n v="1034"/>
    <n v="2877"/>
    <s v="Net"/>
    <n v="11.4"/>
    <x v="1"/>
    <n v="4.9000000000000004"/>
    <n v="0.49000000000000005"/>
    <s v="Juan"/>
    <x v="1"/>
    <s v="CO"/>
  </r>
  <r>
    <s v="Mar"/>
    <n v="1035"/>
    <n v="2499"/>
    <s v="8 ft Hose"/>
    <n v="6.2"/>
    <x v="2"/>
    <n v="2.9999999999999991"/>
    <n v="0.29999999999999993"/>
    <s v="Hellen"/>
    <x v="3"/>
    <s v="CA"/>
  </r>
  <r>
    <s v="Mar"/>
    <n v="1036"/>
    <n v="2499"/>
    <s v="8 ft Hose"/>
    <n v="6.2"/>
    <x v="2"/>
    <n v="2.9999999999999991"/>
    <n v="0.29999999999999993"/>
    <s v="Juan"/>
    <x v="1"/>
    <s v="NV"/>
  </r>
  <r>
    <s v="Mar"/>
    <n v="1037"/>
    <n v="6622"/>
    <s v="5 Gal Chlorine"/>
    <n v="42"/>
    <x v="9"/>
    <n v="35"/>
    <n v="7"/>
    <s v="Juan"/>
    <x v="1"/>
    <s v="NV"/>
  </r>
  <r>
    <s v="Mar"/>
    <n v="1038"/>
    <n v="2499"/>
    <s v="8 ft Hose"/>
    <n v="6.2"/>
    <x v="2"/>
    <n v="2.9999999999999991"/>
    <n v="0.29999999999999993"/>
    <s v="Juan"/>
    <x v="1"/>
    <s v="NV"/>
  </r>
  <r>
    <s v="Mar"/>
    <n v="1039"/>
    <n v="2877"/>
    <s v="Net"/>
    <n v="11.4"/>
    <x v="1"/>
    <n v="4.9000000000000004"/>
    <n v="0.49000000000000005"/>
    <s v="Juan"/>
    <x v="1"/>
    <s v="CA"/>
  </r>
  <r>
    <s v="Mar"/>
    <n v="1040"/>
    <n v="1109"/>
    <s v="Chlorine Test Kit"/>
    <n v="3"/>
    <x v="4"/>
    <n v="5"/>
    <n v="0.5"/>
    <s v="Juan"/>
    <x v="1"/>
    <s v="AZ"/>
  </r>
  <r>
    <s v="Mar"/>
    <n v="1041"/>
    <n v="2499"/>
    <s v="8 ft Hose"/>
    <n v="6.2"/>
    <x v="2"/>
    <n v="2.9999999999999991"/>
    <n v="0.29999999999999993"/>
    <s v="Chalie"/>
    <x v="0"/>
    <s v="NM"/>
  </r>
  <r>
    <s v="Mar"/>
    <n v="1042"/>
    <n v="8722"/>
    <s v="Water Pump"/>
    <n v="344"/>
    <x v="3"/>
    <n v="158"/>
    <n v="31.6"/>
    <s v="Doug"/>
    <x v="2"/>
    <s v="NM"/>
  </r>
  <r>
    <s v="Mar"/>
    <n v="1043"/>
    <n v="2242"/>
    <s v="AutoVac"/>
    <n v="60"/>
    <x v="7"/>
    <n v="64"/>
    <n v="12.8"/>
    <s v="Doug"/>
    <x v="2"/>
    <s v="CA"/>
  </r>
  <r>
    <s v="Mar"/>
    <n v="1044"/>
    <n v="2877"/>
    <s v="Net"/>
    <n v="11.4"/>
    <x v="1"/>
    <n v="4.9000000000000004"/>
    <n v="0.49000000000000005"/>
    <s v="Doug"/>
    <x v="2"/>
    <s v="CA"/>
  </r>
  <r>
    <s v="Mar"/>
    <n v="1045"/>
    <n v="8722"/>
    <s v="Water Pump"/>
    <n v="344"/>
    <x v="3"/>
    <n v="158"/>
    <n v="31.6"/>
    <s v="Hellen"/>
    <x v="3"/>
    <s v="AZ"/>
  </r>
  <r>
    <s v="Mar"/>
    <n v="1046"/>
    <n v="6119"/>
    <s v="Algea Killer 8 oz"/>
    <n v="9"/>
    <x v="8"/>
    <n v="5"/>
    <n v="0.5"/>
    <s v="Juan"/>
    <x v="1"/>
    <s v="UT"/>
  </r>
  <r>
    <s v="Mar"/>
    <n v="1047"/>
    <n v="6622"/>
    <s v="5 Gal Chlorine"/>
    <n v="42"/>
    <x v="9"/>
    <n v="35"/>
    <n v="7"/>
    <s v="Hellen"/>
    <x v="3"/>
    <s v="AZ"/>
  </r>
  <r>
    <s v="Mar"/>
    <n v="1048"/>
    <n v="8722"/>
    <s v="Water Pump"/>
    <n v="344"/>
    <x v="3"/>
    <n v="158"/>
    <n v="31.6"/>
    <s v="Chalie"/>
    <x v="0"/>
    <s v="AZ"/>
  </r>
  <r>
    <s v="April"/>
    <n v="1049"/>
    <n v="2499"/>
    <s v="8 ft Hose"/>
    <n v="6.2"/>
    <x v="2"/>
    <n v="2.9999999999999991"/>
    <n v="0.29999999999999993"/>
    <s v="Chalie"/>
    <x v="0"/>
    <s v="CO"/>
  </r>
  <r>
    <s v="April"/>
    <n v="1050"/>
    <n v="2877"/>
    <s v="Net"/>
    <n v="11.4"/>
    <x v="1"/>
    <n v="4.9000000000000004"/>
    <n v="0.49000000000000005"/>
    <s v="Chalie"/>
    <x v="0"/>
    <s v="AZ"/>
  </r>
  <r>
    <s v="April"/>
    <n v="1051"/>
    <n v="6119"/>
    <s v="Algea Killer 8 oz"/>
    <n v="9"/>
    <x v="8"/>
    <n v="5"/>
    <n v="0.5"/>
    <s v="Doug"/>
    <x v="2"/>
    <s v="UT"/>
  </r>
  <r>
    <s v="April"/>
    <n v="1052"/>
    <n v="6622"/>
    <s v="5 Gal Chlorine"/>
    <n v="42"/>
    <x v="9"/>
    <n v="35"/>
    <n v="7"/>
    <s v="Doug"/>
    <x v="2"/>
    <s v="AZ"/>
  </r>
  <r>
    <s v="April"/>
    <n v="1053"/>
    <n v="2242"/>
    <s v="AutoVac"/>
    <n v="60"/>
    <x v="7"/>
    <n v="64"/>
    <n v="12.8"/>
    <s v="Chalie"/>
    <x v="0"/>
    <s v="CA"/>
  </r>
  <r>
    <s v="April"/>
    <n v="1054"/>
    <n v="4421"/>
    <s v="Skimmer"/>
    <n v="45"/>
    <x v="5"/>
    <n v="42"/>
    <n v="8.4"/>
    <s v="Doug"/>
    <x v="2"/>
    <s v="NV"/>
  </r>
  <r>
    <s v="April"/>
    <n v="1055"/>
    <n v="6119"/>
    <s v="Algea Killer 8 oz"/>
    <n v="9"/>
    <x v="8"/>
    <n v="5"/>
    <n v="0.5"/>
    <s v="Juan"/>
    <x v="1"/>
    <s v="NV"/>
  </r>
  <r>
    <s v="April"/>
    <n v="1056"/>
    <n v="1109"/>
    <s v="Chlorine Test Kit"/>
    <n v="3"/>
    <x v="4"/>
    <n v="5"/>
    <n v="0.5"/>
    <s v="Doug"/>
    <x v="2"/>
    <s v="CA"/>
  </r>
  <r>
    <s v="April"/>
    <n v="1057"/>
    <n v="2499"/>
    <s v="8 ft Hose"/>
    <n v="6.2"/>
    <x v="2"/>
    <n v="2.9999999999999991"/>
    <n v="0.29999999999999993"/>
    <s v="Juan"/>
    <x v="1"/>
    <s v="CA"/>
  </r>
  <r>
    <s v="April"/>
    <n v="1058"/>
    <n v="6119"/>
    <s v="Algea Killer 8 oz"/>
    <n v="9"/>
    <x v="8"/>
    <n v="5"/>
    <n v="0.5"/>
    <s v="Hellen"/>
    <x v="3"/>
    <s v="AZ"/>
  </r>
  <r>
    <s v="April"/>
    <n v="1059"/>
    <n v="2242"/>
    <s v="AutoVac"/>
    <n v="60"/>
    <x v="7"/>
    <n v="64"/>
    <n v="12.8"/>
    <s v="Doug"/>
    <x v="2"/>
    <s v="AZ"/>
  </r>
  <r>
    <s v="April"/>
    <n v="1060"/>
    <n v="6119"/>
    <s v="Algea Killer 8 oz"/>
    <n v="9"/>
    <x v="8"/>
    <n v="5"/>
    <n v="0.5"/>
    <s v="Doug"/>
    <x v="2"/>
    <s v="NV"/>
  </r>
  <r>
    <s v="May"/>
    <n v="1061"/>
    <n v="1109"/>
    <s v="Chlorine Test Kit"/>
    <n v="3"/>
    <x v="4"/>
    <n v="5"/>
    <n v="0.5"/>
    <s v="Doug"/>
    <x v="2"/>
    <s v="NV"/>
  </r>
  <r>
    <s v="May"/>
    <n v="1062"/>
    <n v="2499"/>
    <s v="8 ft Hose"/>
    <n v="6.2"/>
    <x v="2"/>
    <n v="2.9999999999999991"/>
    <n v="0.29999999999999993"/>
    <s v="Chalie"/>
    <x v="0"/>
    <s v="AZ"/>
  </r>
  <r>
    <s v="May"/>
    <n v="1063"/>
    <n v="1109"/>
    <s v="Chlorine Test Kit"/>
    <n v="3"/>
    <x v="4"/>
    <n v="5"/>
    <n v="0.5"/>
    <s v="Doug"/>
    <x v="2"/>
    <s v="CA"/>
  </r>
  <r>
    <s v="May"/>
    <n v="1064"/>
    <n v="2499"/>
    <s v="8 ft Hose"/>
    <n v="6.2"/>
    <x v="2"/>
    <n v="2.9999999999999991"/>
    <n v="0.29999999999999993"/>
    <s v="Hellen"/>
    <x v="3"/>
    <s v="AZ"/>
  </r>
  <r>
    <s v="May"/>
    <n v="1065"/>
    <n v="2499"/>
    <s v="8 ft Hose"/>
    <n v="6.2"/>
    <x v="2"/>
    <n v="2.9999999999999991"/>
    <n v="0.29999999999999993"/>
    <s v="Doug"/>
    <x v="2"/>
    <s v="NM"/>
  </r>
  <r>
    <s v="May"/>
    <n v="1066"/>
    <n v="2877"/>
    <s v="Net"/>
    <n v="11.4"/>
    <x v="1"/>
    <n v="4.9000000000000004"/>
    <n v="0.49000000000000005"/>
    <s v="Doug"/>
    <x v="2"/>
    <s v="NV"/>
  </r>
  <r>
    <s v="May"/>
    <n v="1067"/>
    <n v="2877"/>
    <s v="Net"/>
    <n v="11.4"/>
    <x v="1"/>
    <n v="4.9000000000000004"/>
    <n v="0.49000000000000005"/>
    <s v="Doug"/>
    <x v="2"/>
    <s v="UT"/>
  </r>
  <r>
    <s v="May"/>
    <n v="1068"/>
    <n v="6119"/>
    <s v="Algea Killer 8 oz"/>
    <n v="9"/>
    <x v="8"/>
    <n v="5"/>
    <n v="0.5"/>
    <s v="Juan"/>
    <x v="1"/>
    <s v="CA"/>
  </r>
  <r>
    <s v="May"/>
    <n v="1069"/>
    <n v="1109"/>
    <s v="Chlorine Test Kit"/>
    <n v="3"/>
    <x v="4"/>
    <n v="5"/>
    <n v="0.5"/>
    <s v="Doug"/>
    <x v="2"/>
    <s v="AZ"/>
  </r>
  <r>
    <s v="May"/>
    <n v="1070"/>
    <n v="2499"/>
    <s v="8 ft Hose"/>
    <n v="6.2"/>
    <x v="2"/>
    <n v="2.9999999999999991"/>
    <n v="0.29999999999999993"/>
    <s v="Hellen"/>
    <x v="3"/>
    <s v="AZ"/>
  </r>
  <r>
    <s v="May"/>
    <n v="1071"/>
    <n v="1109"/>
    <s v="Chlorine Test Kit"/>
    <n v="3"/>
    <x v="4"/>
    <n v="5"/>
    <n v="0.5"/>
    <s v="Chalie"/>
    <x v="0"/>
    <s v="AZ"/>
  </r>
  <r>
    <s v="May"/>
    <n v="1072"/>
    <n v="1109"/>
    <s v="Chlorine Test Kit"/>
    <n v="3"/>
    <x v="4"/>
    <n v="5"/>
    <n v="0.5"/>
    <s v="Doug"/>
    <x v="2"/>
    <s v="NV"/>
  </r>
  <r>
    <s v="May"/>
    <n v="1073"/>
    <n v="6622"/>
    <s v="5 Gal Chlorine"/>
    <n v="42"/>
    <x v="9"/>
    <n v="35"/>
    <n v="7"/>
    <s v="Doug"/>
    <x v="2"/>
    <s v="CA"/>
  </r>
  <r>
    <s v="May"/>
    <n v="1074"/>
    <n v="2877"/>
    <s v="Net"/>
    <n v="11.4"/>
    <x v="1"/>
    <n v="4.9000000000000004"/>
    <n v="0.49000000000000005"/>
    <s v="Doug"/>
    <x v="2"/>
    <s v="AZ"/>
  </r>
  <r>
    <s v="May"/>
    <n v="1075"/>
    <n v="1109"/>
    <s v="Chlorine Test Kit"/>
    <n v="3"/>
    <x v="4"/>
    <n v="5"/>
    <n v="0.5"/>
    <s v="Hellen"/>
    <x v="3"/>
    <s v="CA"/>
  </r>
  <r>
    <s v="May"/>
    <n v="1076"/>
    <n v="1109"/>
    <s v="Chlorine Test Kit"/>
    <n v="3"/>
    <x v="4"/>
    <n v="5"/>
    <n v="0.5"/>
    <s v="Juan"/>
    <x v="1"/>
    <s v="AZ"/>
  </r>
  <r>
    <s v="May"/>
    <n v="1077"/>
    <n v="9822"/>
    <s v="Pool Cover"/>
    <n v="58.3"/>
    <x v="0"/>
    <n v="40.100000000000009"/>
    <n v="8.0200000000000014"/>
    <s v="Hellen"/>
    <x v="3"/>
    <s v="AZ"/>
  </r>
  <r>
    <s v="May"/>
    <n v="1078"/>
    <n v="2877"/>
    <s v="Net"/>
    <n v="11.4"/>
    <x v="1"/>
    <n v="4.9000000000000004"/>
    <n v="0.49000000000000005"/>
    <s v="Juan"/>
    <x v="1"/>
    <s v="NV"/>
  </r>
  <r>
    <s v="June"/>
    <n v="1079"/>
    <n v="2877"/>
    <s v="Net"/>
    <n v="11.4"/>
    <x v="1"/>
    <n v="4.9000000000000004"/>
    <n v="0.49000000000000005"/>
    <s v="Juan"/>
    <x v="1"/>
    <s v="NM"/>
  </r>
  <r>
    <s v="June"/>
    <n v="1080"/>
    <n v="4421"/>
    <s v="Skimmer"/>
    <n v="45"/>
    <x v="5"/>
    <n v="42"/>
    <n v="8.4"/>
    <s v="Doug"/>
    <x v="2"/>
    <s v="CA"/>
  </r>
  <r>
    <s v="June"/>
    <n v="1081"/>
    <n v="6119"/>
    <s v="Algea Killer 8 oz"/>
    <n v="9"/>
    <x v="8"/>
    <n v="5"/>
    <n v="0.5"/>
    <s v="Doug"/>
    <x v="2"/>
    <s v="UT"/>
  </r>
  <r>
    <s v="June"/>
    <n v="1082"/>
    <n v="1109"/>
    <s v="Chlorine Test Kit"/>
    <n v="3"/>
    <x v="4"/>
    <n v="5"/>
    <n v="0.5"/>
    <s v="Chalie"/>
    <x v="0"/>
    <s v="CA"/>
  </r>
  <r>
    <s v="June"/>
    <n v="1083"/>
    <n v="1109"/>
    <s v="Chlorine Test Kit"/>
    <n v="3"/>
    <x v="4"/>
    <n v="5"/>
    <n v="0.5"/>
    <s v="Chalie"/>
    <x v="0"/>
    <s v="NV"/>
  </r>
  <r>
    <s v="June"/>
    <n v="1084"/>
    <n v="6119"/>
    <s v="Algea Killer 8 oz"/>
    <n v="9"/>
    <x v="8"/>
    <n v="5"/>
    <n v="0.5"/>
    <s v="Chalie"/>
    <x v="0"/>
    <s v="AZ"/>
  </r>
  <r>
    <s v="June"/>
    <n v="1085"/>
    <n v="9822"/>
    <s v="Pool Cover"/>
    <n v="58.3"/>
    <x v="0"/>
    <n v="40.100000000000009"/>
    <n v="8.0200000000000014"/>
    <s v="Doug"/>
    <x v="2"/>
    <s v="NV"/>
  </r>
  <r>
    <s v="June"/>
    <n v="1086"/>
    <n v="1109"/>
    <s v="Chlorine Test Kit"/>
    <n v="3"/>
    <x v="4"/>
    <n v="5"/>
    <n v="0.5"/>
    <s v="Hellen"/>
    <x v="3"/>
    <s v="AZ"/>
  </r>
  <r>
    <s v="June"/>
    <n v="1087"/>
    <n v="2499"/>
    <s v="8 ft Hose"/>
    <n v="6.2"/>
    <x v="2"/>
    <n v="2.9999999999999991"/>
    <n v="0.29999999999999993"/>
    <s v="Chalie"/>
    <x v="0"/>
    <s v="CA"/>
  </r>
  <r>
    <s v="June"/>
    <n v="1088"/>
    <n v="2499"/>
    <s v="8 ft Hose"/>
    <n v="6.2"/>
    <x v="2"/>
    <n v="2.9999999999999991"/>
    <n v="0.29999999999999993"/>
    <s v="Chalie"/>
    <x v="0"/>
    <s v="NM"/>
  </r>
  <r>
    <s v="June"/>
    <n v="1089"/>
    <n v="6119"/>
    <s v="Algea Killer 8 oz"/>
    <n v="9"/>
    <x v="8"/>
    <n v="5"/>
    <n v="0.5"/>
    <s v="Doug"/>
    <x v="2"/>
    <s v="NV"/>
  </r>
  <r>
    <s v="June"/>
    <n v="1090"/>
    <n v="2877"/>
    <s v="Net"/>
    <n v="11.4"/>
    <x v="1"/>
    <n v="4.9000000000000004"/>
    <n v="0.49000000000000005"/>
    <s v="Chalie"/>
    <x v="0"/>
    <s v="CA"/>
  </r>
  <r>
    <s v="June"/>
    <n v="1091"/>
    <n v="2877"/>
    <s v="Net"/>
    <n v="11.4"/>
    <x v="1"/>
    <n v="4.9000000000000004"/>
    <n v="0.49000000000000005"/>
    <s v="Hellen"/>
    <x v="3"/>
    <s v="NV"/>
  </r>
  <r>
    <s v="June"/>
    <n v="1092"/>
    <n v="2877"/>
    <s v="Net"/>
    <n v="11.4"/>
    <x v="1"/>
    <n v="4.9000000000000004"/>
    <n v="0.49000000000000005"/>
    <s v="Doug"/>
    <x v="2"/>
    <s v="CA"/>
  </r>
  <r>
    <s v="June"/>
    <n v="1093"/>
    <n v="6119"/>
    <s v="Algea Killer 8 oz"/>
    <n v="9"/>
    <x v="8"/>
    <n v="5"/>
    <n v="0.5"/>
    <s v="Juan"/>
    <x v="1"/>
    <s v="AZ"/>
  </r>
  <r>
    <s v="June"/>
    <n v="1094"/>
    <n v="6119"/>
    <s v="Algea Killer 8 oz"/>
    <n v="9"/>
    <x v="8"/>
    <n v="5"/>
    <n v="0.5"/>
    <s v="Doug"/>
    <x v="2"/>
    <s v="CA"/>
  </r>
  <r>
    <s v="June"/>
    <n v="1095"/>
    <n v="2499"/>
    <s v="8 ft Hose"/>
    <n v="6.2"/>
    <x v="2"/>
    <n v="2.9999999999999991"/>
    <n v="0.29999999999999993"/>
    <s v="Hellen"/>
    <x v="3"/>
    <s v="AZ"/>
  </r>
  <r>
    <s v="June"/>
    <n v="1096"/>
    <n v="6119"/>
    <s v="Algea Killer 8 oz"/>
    <n v="9"/>
    <x v="8"/>
    <n v="5"/>
    <n v="0.5"/>
    <s v="Doug"/>
    <x v="2"/>
    <s v="AZ"/>
  </r>
  <r>
    <s v="June"/>
    <n v="1097"/>
    <n v="9212"/>
    <s v="1 Gal Muratic Acid"/>
    <n v="4"/>
    <x v="6"/>
    <n v="3"/>
    <n v="0.30000000000000004"/>
    <s v="Hellen"/>
    <x v="3"/>
    <s v="NV"/>
  </r>
  <r>
    <s v="June"/>
    <n v="1098"/>
    <n v="2877"/>
    <s v="Net"/>
    <n v="11.4"/>
    <x v="1"/>
    <n v="4.9000000000000004"/>
    <n v="0.49000000000000005"/>
    <s v="Juan"/>
    <x v="1"/>
    <s v="NM"/>
  </r>
  <r>
    <s v="July"/>
    <n v="1099"/>
    <n v="2877"/>
    <s v="Net"/>
    <n v="11.4"/>
    <x v="1"/>
    <n v="4.9000000000000004"/>
    <n v="0.49000000000000005"/>
    <s v="Doug"/>
    <x v="2"/>
    <s v="CA"/>
  </r>
  <r>
    <s v="July"/>
    <n v="1100"/>
    <n v="6119"/>
    <s v="Algea Killer 8 oz"/>
    <n v="9"/>
    <x v="8"/>
    <n v="5"/>
    <n v="0.5"/>
    <s v="Chalie"/>
    <x v="0"/>
    <s v="UT"/>
  </r>
  <r>
    <s v="July"/>
    <n v="1101"/>
    <n v="2499"/>
    <s v="8 ft Hose"/>
    <n v="6.2"/>
    <x v="2"/>
    <n v="2.9999999999999991"/>
    <n v="0.29999999999999993"/>
    <s v="Doug"/>
    <x v="2"/>
    <s v="CA"/>
  </r>
  <r>
    <s v="July"/>
    <n v="1102"/>
    <n v="2242"/>
    <s v="AutoVac"/>
    <n v="60"/>
    <x v="7"/>
    <n v="64"/>
    <n v="12.8"/>
    <s v="Juan"/>
    <x v="1"/>
    <s v="NV"/>
  </r>
  <r>
    <s v="July"/>
    <n v="1103"/>
    <n v="2877"/>
    <s v="Net"/>
    <n v="11.4"/>
    <x v="1"/>
    <n v="4.9000000000000004"/>
    <n v="0.49000000000000005"/>
    <s v="Juan"/>
    <x v="1"/>
    <s v="AZ"/>
  </r>
  <r>
    <s v="July"/>
    <n v="1104"/>
    <n v="2877"/>
    <s v="Net"/>
    <n v="11.4"/>
    <x v="1"/>
    <n v="4.9000000000000004"/>
    <n v="0.49000000000000005"/>
    <s v="Doug"/>
    <x v="2"/>
    <s v="NV"/>
  </r>
  <r>
    <s v="July"/>
    <n v="1105"/>
    <n v="2499"/>
    <s v="8 ft Hose"/>
    <n v="6.2"/>
    <x v="2"/>
    <n v="2.9999999999999991"/>
    <n v="0.29999999999999993"/>
    <s v="Juan"/>
    <x v="1"/>
    <s v="AZ"/>
  </r>
  <r>
    <s v="July"/>
    <n v="1106"/>
    <n v="9822"/>
    <s v="Pool Cover"/>
    <n v="58.3"/>
    <x v="0"/>
    <n v="40.100000000000009"/>
    <n v="8.0200000000000014"/>
    <s v="Juan"/>
    <x v="1"/>
    <s v="CA"/>
  </r>
  <r>
    <s v="July"/>
    <n v="1107"/>
    <n v="1109"/>
    <s v="Chlorine Test Kit"/>
    <n v="3"/>
    <x v="4"/>
    <n v="5"/>
    <n v="0.5"/>
    <s v="Hellen"/>
    <x v="3"/>
    <s v="NM"/>
  </r>
  <r>
    <s v="July"/>
    <n v="1108"/>
    <n v="9822"/>
    <s v="Pool Cover"/>
    <n v="58.3"/>
    <x v="0"/>
    <n v="40.100000000000009"/>
    <n v="8.0200000000000014"/>
    <s v="Doug"/>
    <x v="2"/>
    <s v="NV"/>
  </r>
  <r>
    <s v="July"/>
    <n v="1109"/>
    <n v="8722"/>
    <s v="Water Pump"/>
    <n v="344"/>
    <x v="3"/>
    <n v="158"/>
    <n v="31.6"/>
    <s v="Juan"/>
    <x v="1"/>
    <s v="CA"/>
  </r>
  <r>
    <s v="July"/>
    <n v="1110"/>
    <n v="8722"/>
    <s v="Water Pump"/>
    <n v="344"/>
    <x v="3"/>
    <n v="158"/>
    <n v="31.6"/>
    <s v="Hellen"/>
    <x v="3"/>
    <s v="NV"/>
  </r>
  <r>
    <s v="July"/>
    <n v="1111"/>
    <n v="6622"/>
    <s v="5 Gal Chlorine"/>
    <n v="42"/>
    <x v="9"/>
    <n v="35"/>
    <n v="7"/>
    <s v="Hellen"/>
    <x v="3"/>
    <s v="CA"/>
  </r>
  <r>
    <s v="July"/>
    <n v="1112"/>
    <n v="6622"/>
    <s v="5 Gal Chlorine"/>
    <n v="42"/>
    <x v="9"/>
    <n v="35"/>
    <n v="7"/>
    <s v="Doug"/>
    <x v="2"/>
    <s v="AZ"/>
  </r>
  <r>
    <s v="July"/>
    <n v="1113"/>
    <n v="9822"/>
    <s v="Pool Cover"/>
    <n v="58.3"/>
    <x v="0"/>
    <n v="40.100000000000009"/>
    <n v="8.0200000000000014"/>
    <s v="Chalie"/>
    <x v="0"/>
    <s v="CA"/>
  </r>
  <r>
    <s v="July"/>
    <n v="1114"/>
    <n v="2242"/>
    <s v="AutoVac"/>
    <n v="60"/>
    <x v="7"/>
    <n v="64"/>
    <n v="12.8"/>
    <s v="Juan"/>
    <x v="1"/>
    <s v="AZ"/>
  </r>
  <r>
    <s v="July"/>
    <n v="1115"/>
    <n v="8722"/>
    <s v="Water Pump"/>
    <n v="344"/>
    <x v="3"/>
    <n v="158"/>
    <n v="31.6"/>
    <s v="Chalie"/>
    <x v="0"/>
    <s v="AZ"/>
  </r>
  <r>
    <s v="July"/>
    <n v="1116"/>
    <n v="6622"/>
    <s v="5 Gal Chlorine"/>
    <n v="42"/>
    <x v="9"/>
    <n v="35"/>
    <n v="7"/>
    <s v="Doug"/>
    <x v="2"/>
    <s v="NV"/>
  </r>
  <r>
    <s v="July"/>
    <n v="1117"/>
    <n v="8722"/>
    <s v="Water Pump"/>
    <n v="344"/>
    <x v="3"/>
    <n v="158"/>
    <n v="31.6"/>
    <s v="Hellen"/>
    <x v="3"/>
    <s v="NM"/>
  </r>
  <r>
    <s v="July"/>
    <n v="1118"/>
    <n v="9822"/>
    <s v="Pool Cover"/>
    <n v="58.3"/>
    <x v="0"/>
    <n v="40.100000000000009"/>
    <n v="8.0200000000000014"/>
    <s v="Juan"/>
    <x v="1"/>
    <s v="CA"/>
  </r>
  <r>
    <s v="July"/>
    <n v="1119"/>
    <n v="2242"/>
    <s v="AutoVac"/>
    <n v="60"/>
    <x v="7"/>
    <n v="64"/>
    <n v="12.8"/>
    <s v="Chalie"/>
    <x v="0"/>
    <s v="UT"/>
  </r>
  <r>
    <s v="July"/>
    <n v="1120"/>
    <n v="2242"/>
    <s v="AutoVac"/>
    <n v="60"/>
    <x v="7"/>
    <n v="64"/>
    <n v="12.8"/>
    <s v="Doug"/>
    <x v="2"/>
    <s v="CA"/>
  </r>
  <r>
    <s v="July"/>
    <n v="1121"/>
    <n v="4421"/>
    <s v="Skimmer"/>
    <n v="45"/>
    <x v="5"/>
    <n v="42"/>
    <n v="8.4"/>
    <s v="Doug"/>
    <x v="2"/>
    <s v="NV"/>
  </r>
  <r>
    <s v="July"/>
    <n v="1122"/>
    <n v="8722"/>
    <s v="Water Pump"/>
    <n v="344"/>
    <x v="3"/>
    <n v="158"/>
    <n v="31.6"/>
    <s v="Doug"/>
    <x v="2"/>
    <s v="AZ"/>
  </r>
  <r>
    <s v="July"/>
    <n v="1123"/>
    <n v="9822"/>
    <s v="Pool Cover"/>
    <n v="58.3"/>
    <x v="0"/>
    <n v="40.100000000000009"/>
    <n v="8.0200000000000014"/>
    <s v="Doug"/>
    <x v="2"/>
    <s v="NV"/>
  </r>
  <r>
    <s v="July"/>
    <n v="1124"/>
    <n v="4421"/>
    <s v="Skimmer"/>
    <n v="45"/>
    <x v="5"/>
    <n v="42"/>
    <n v="8.4"/>
    <s v="Doug"/>
    <x v="2"/>
    <s v="AZ"/>
  </r>
  <r>
    <s v="Aug"/>
    <n v="1125"/>
    <n v="2242"/>
    <s v="AutoVac"/>
    <n v="60"/>
    <x v="7"/>
    <n v="64"/>
    <n v="12.8"/>
    <s v="Doug"/>
    <x v="2"/>
    <s v="CA"/>
  </r>
  <r>
    <s v="Aug"/>
    <n v="1126"/>
    <n v="9212"/>
    <s v="1 Gal Muratic Acid"/>
    <n v="4"/>
    <x v="6"/>
    <n v="3"/>
    <n v="0.30000000000000004"/>
    <s v="Doug"/>
    <x v="2"/>
    <s v="NM"/>
  </r>
  <r>
    <s v="Aug"/>
    <n v="1127"/>
    <n v="8722"/>
    <s v="Water Pump"/>
    <n v="344"/>
    <x v="3"/>
    <n v="158"/>
    <n v="31.6"/>
    <s v="Chalie"/>
    <x v="0"/>
    <s v="NV"/>
  </r>
  <r>
    <s v="Aug"/>
    <n v="1128"/>
    <n v="6622"/>
    <s v="5 Gal Chlorine"/>
    <n v="42"/>
    <x v="9"/>
    <n v="35"/>
    <n v="7"/>
    <s v="Juan"/>
    <x v="1"/>
    <s v="CA"/>
  </r>
  <r>
    <s v="Aug"/>
    <n v="1129"/>
    <n v="9822"/>
    <s v="Pool Cover"/>
    <n v="58.3"/>
    <x v="0"/>
    <n v="40.100000000000009"/>
    <n v="8.0200000000000014"/>
    <s v="Hellen"/>
    <x v="3"/>
    <s v="NV"/>
  </r>
  <r>
    <s v="Aug"/>
    <n v="1130"/>
    <n v="4421"/>
    <s v="Skimmer"/>
    <n v="45"/>
    <x v="5"/>
    <n v="42"/>
    <n v="8.4"/>
    <s v="Hellen"/>
    <x v="3"/>
    <s v="CA"/>
  </r>
  <r>
    <s v="Aug"/>
    <n v="1131"/>
    <n v="9212"/>
    <s v="1 Gal Muratic Acid"/>
    <n v="4"/>
    <x v="6"/>
    <n v="3"/>
    <n v="0.30000000000000004"/>
    <s v="Hellen"/>
    <x v="3"/>
    <s v="AZ"/>
  </r>
  <r>
    <s v="Aug"/>
    <n v="1132"/>
    <n v="9212"/>
    <s v="1 Gal Muratic Acid"/>
    <n v="4"/>
    <x v="6"/>
    <n v="3"/>
    <n v="0.30000000000000004"/>
    <s v="Hellen"/>
    <x v="3"/>
    <s v="CA"/>
  </r>
  <r>
    <s v="Aug"/>
    <n v="1133"/>
    <n v="9822"/>
    <s v="Pool Cover"/>
    <n v="58.3"/>
    <x v="0"/>
    <n v="40.100000000000009"/>
    <n v="8.0200000000000014"/>
    <s v="Chalie"/>
    <x v="0"/>
    <s v="AZ"/>
  </r>
  <r>
    <s v="Aug"/>
    <n v="1134"/>
    <n v="9822"/>
    <s v="Pool Cover"/>
    <n v="58.3"/>
    <x v="0"/>
    <n v="40.100000000000009"/>
    <n v="8.0200000000000014"/>
    <s v="Doug"/>
    <x v="2"/>
    <s v="AZ"/>
  </r>
  <r>
    <s v="Aug"/>
    <n v="1135"/>
    <n v="8722"/>
    <s v="Water Pump"/>
    <n v="344"/>
    <x v="3"/>
    <n v="158"/>
    <n v="31.6"/>
    <s v="Chalie"/>
    <x v="0"/>
    <s v="NV"/>
  </r>
  <r>
    <s v="Aug"/>
    <n v="1136"/>
    <n v="2242"/>
    <s v="AutoVac"/>
    <n v="60"/>
    <x v="7"/>
    <n v="64"/>
    <n v="12.8"/>
    <s v="Doug"/>
    <x v="2"/>
    <s v="NM"/>
  </r>
  <r>
    <s v="Aug"/>
    <n v="1137"/>
    <n v="9822"/>
    <s v="Pool Cover"/>
    <n v="58.3"/>
    <x v="0"/>
    <n v="40.100000000000009"/>
    <n v="8.0200000000000014"/>
    <s v="Juan"/>
    <x v="1"/>
    <s v="CA"/>
  </r>
  <r>
    <s v="Aug"/>
    <n v="1138"/>
    <n v="8722"/>
    <s v="Water Pump"/>
    <n v="344"/>
    <x v="3"/>
    <n v="158"/>
    <n v="31.6"/>
    <s v="Chalie"/>
    <x v="0"/>
    <s v="UT"/>
  </r>
  <r>
    <s v="Aug"/>
    <n v="1139"/>
    <n v="4421"/>
    <s v="Skimmer"/>
    <n v="45"/>
    <x v="5"/>
    <n v="42"/>
    <n v="8.4"/>
    <s v="Doug"/>
    <x v="2"/>
    <s v="CA"/>
  </r>
  <r>
    <s v="Aug"/>
    <n v="1140"/>
    <n v="4421"/>
    <s v="Skimmer"/>
    <n v="45"/>
    <x v="5"/>
    <n v="42"/>
    <n v="8.4"/>
    <s v="Juan"/>
    <x v="1"/>
    <s v="NV"/>
  </r>
  <r>
    <s v="Aug"/>
    <n v="1141"/>
    <n v="9212"/>
    <s v="1 Gal Muratic Acid"/>
    <n v="4"/>
    <x v="6"/>
    <n v="3"/>
    <n v="0.30000000000000004"/>
    <s v="Juan"/>
    <x v="1"/>
    <s v="AZ"/>
  </r>
  <r>
    <s v="Sept"/>
    <n v="1142"/>
    <n v="2242"/>
    <s v="AutoVac"/>
    <n v="60"/>
    <x v="7"/>
    <n v="64"/>
    <n v="12.8"/>
    <s v="Juan"/>
    <x v="1"/>
    <s v="NV"/>
  </r>
  <r>
    <s v="Sept"/>
    <n v="1143"/>
    <n v="9822"/>
    <s v="Pool Cover"/>
    <n v="58.3"/>
    <x v="0"/>
    <n v="40.100000000000009"/>
    <n v="8.0200000000000014"/>
    <s v="Hellen"/>
    <x v="3"/>
    <s v="AZ"/>
  </r>
  <r>
    <s v="Sept"/>
    <n v="1144"/>
    <n v="2242"/>
    <s v="AutoVac"/>
    <n v="60"/>
    <x v="7"/>
    <n v="64"/>
    <n v="12.8"/>
    <s v="Hellen"/>
    <x v="3"/>
    <s v="CA"/>
  </r>
  <r>
    <s v="Sept"/>
    <n v="1145"/>
    <n v="4421"/>
    <s v="Skimmer"/>
    <n v="45"/>
    <x v="5"/>
    <n v="42"/>
    <n v="8.4"/>
    <s v="Hellen"/>
    <x v="3"/>
    <s v="NM"/>
  </r>
  <r>
    <s v="Sept"/>
    <n v="1146"/>
    <n v="8722"/>
    <s v="Water Pump"/>
    <n v="344"/>
    <x v="3"/>
    <n v="158"/>
    <n v="31.6"/>
    <s v="Hellen"/>
    <x v="3"/>
    <s v="NV"/>
  </r>
  <r>
    <s v="Sept"/>
    <n v="1147"/>
    <n v="9822"/>
    <s v="Pool Cover"/>
    <n v="58.3"/>
    <x v="0"/>
    <n v="40.100000000000009"/>
    <n v="8.0200000000000014"/>
    <s v="Chalie"/>
    <x v="0"/>
    <s v="CA"/>
  </r>
  <r>
    <s v="Sept"/>
    <n v="1148"/>
    <n v="9212"/>
    <s v="1 Gal Muratic Acid"/>
    <n v="4"/>
    <x v="6"/>
    <n v="3"/>
    <n v="0.30000000000000004"/>
    <s v="Doug"/>
    <x v="2"/>
    <s v="AZ"/>
  </r>
  <r>
    <s v="Sept"/>
    <n v="1149"/>
    <n v="8722"/>
    <s v="Water Pump"/>
    <n v="344"/>
    <x v="3"/>
    <n v="158"/>
    <n v="31.6"/>
    <s v="Chalie"/>
    <x v="0"/>
    <s v="AZ"/>
  </r>
  <r>
    <s v="Oct"/>
    <n v="1150"/>
    <n v="2242"/>
    <s v="AutoVac"/>
    <n v="60"/>
    <x v="7"/>
    <n v="64"/>
    <n v="12.8"/>
    <s v="Doug"/>
    <x v="2"/>
    <s v="UT"/>
  </r>
  <r>
    <s v="Oct"/>
    <n v="1151"/>
    <n v="2242"/>
    <s v="AutoVac"/>
    <n v="60"/>
    <x v="7"/>
    <n v="64"/>
    <n v="12.8"/>
    <s v="Juan"/>
    <x v="1"/>
    <s v="CA"/>
  </r>
  <r>
    <s v="Oct"/>
    <n v="1152"/>
    <n v="4421"/>
    <s v="Skimmer"/>
    <n v="45"/>
    <x v="5"/>
    <n v="42"/>
    <n v="8.4"/>
    <s v="Chalie"/>
    <x v="0"/>
    <s v="NV"/>
  </r>
  <r>
    <s v="Oct"/>
    <n v="1153"/>
    <n v="8722"/>
    <s v="Water Pump"/>
    <n v="344"/>
    <x v="3"/>
    <n v="158"/>
    <n v="31.6"/>
    <s v="Doug"/>
    <x v="2"/>
    <s v="AZ"/>
  </r>
  <r>
    <s v="Oct"/>
    <n v="1154"/>
    <n v="9822"/>
    <s v="Pool Cover"/>
    <n v="58.3"/>
    <x v="0"/>
    <n v="40.100000000000009"/>
    <n v="8.0200000000000014"/>
    <s v="Juan"/>
    <x v="1"/>
    <s v="NV"/>
  </r>
  <r>
    <s v="Oct"/>
    <n v="1155"/>
    <n v="4421"/>
    <s v="Skimmer"/>
    <n v="45"/>
    <x v="5"/>
    <n v="42"/>
    <n v="8.4"/>
    <s v="Doug"/>
    <x v="2"/>
    <s v="AZ"/>
  </r>
  <r>
    <s v="Oct"/>
    <n v="1156"/>
    <n v="2242"/>
    <s v="AutoVac"/>
    <n v="60"/>
    <x v="7"/>
    <n v="64"/>
    <n v="12.8"/>
    <s v="Doug"/>
    <x v="2"/>
    <s v="CA"/>
  </r>
  <r>
    <s v="Oct"/>
    <n v="1157"/>
    <n v="9212"/>
    <s v="1 Gal Muratic Acid"/>
    <n v="4"/>
    <x v="6"/>
    <n v="3"/>
    <n v="0.30000000000000004"/>
    <s v="Doug"/>
    <x v="2"/>
    <s v="NM"/>
  </r>
  <r>
    <s v="Nov"/>
    <n v="1158"/>
    <n v="8722"/>
    <s v="Water Pump"/>
    <n v="344"/>
    <x v="3"/>
    <n v="158"/>
    <n v="31.6"/>
    <s v="Chalie"/>
    <x v="0"/>
    <s v="NV"/>
  </r>
  <r>
    <s v="Nov"/>
    <n v="1159"/>
    <n v="6622"/>
    <s v="5 Gal Chlorine"/>
    <n v="42"/>
    <x v="9"/>
    <n v="35"/>
    <n v="7"/>
    <s v="Doug"/>
    <x v="2"/>
    <s v="CA"/>
  </r>
  <r>
    <s v="Nov"/>
    <n v="1160"/>
    <n v="9822"/>
    <s v="Pool Cover"/>
    <n v="58.3"/>
    <x v="0"/>
    <n v="40.100000000000009"/>
    <n v="8.0200000000000014"/>
    <s v="Hellen"/>
    <x v="3"/>
    <s v="NV"/>
  </r>
  <r>
    <s v="Nov"/>
    <n v="1161"/>
    <n v="4421"/>
    <s v="Skimmer"/>
    <n v="45"/>
    <x v="5"/>
    <n v="42"/>
    <n v="8.4"/>
    <s v="Juan"/>
    <x v="1"/>
    <s v="CA"/>
  </r>
  <r>
    <s v="Nov"/>
    <n v="1162"/>
    <n v="9212"/>
    <s v="1 Gal Muratic Acid"/>
    <n v="4"/>
    <x v="6"/>
    <n v="3"/>
    <n v="0.30000000000000004"/>
    <s v="Chalie"/>
    <x v="0"/>
    <s v="AZ"/>
  </r>
  <r>
    <s v="Nov"/>
    <n v="1163"/>
    <n v="9212"/>
    <s v="1 Gal Muratic Acid"/>
    <n v="4"/>
    <x v="6"/>
    <n v="3"/>
    <n v="0.30000000000000004"/>
    <s v="Doug"/>
    <x v="2"/>
    <s v="CA"/>
  </r>
  <r>
    <s v="Nov"/>
    <n v="1164"/>
    <n v="9822"/>
    <s v="Pool Cover"/>
    <n v="58.3"/>
    <x v="0"/>
    <n v="40.100000000000009"/>
    <n v="8.0200000000000014"/>
    <s v="Doug"/>
    <x v="2"/>
    <s v="AZ"/>
  </r>
  <r>
    <s v="Nov"/>
    <n v="1165"/>
    <n v="9822"/>
    <s v="Pool Cover"/>
    <n v="58.3"/>
    <x v="0"/>
    <n v="40.100000000000009"/>
    <n v="8.0200000000000014"/>
    <s v="Doug"/>
    <x v="2"/>
    <s v="AZ"/>
  </r>
  <r>
    <s v="Nov"/>
    <n v="1166"/>
    <n v="8722"/>
    <s v="Water Pump"/>
    <n v="344"/>
    <x v="3"/>
    <n v="158"/>
    <n v="31.6"/>
    <s v="Doug"/>
    <x v="2"/>
    <s v="NV"/>
  </r>
  <r>
    <s v="Dec"/>
    <n v="1167"/>
    <n v="2242"/>
    <s v="AutoVac"/>
    <n v="60"/>
    <x v="7"/>
    <n v="64"/>
    <n v="12.8"/>
    <s v="Doug"/>
    <x v="2"/>
    <s v="NM"/>
  </r>
  <r>
    <s v="Dec"/>
    <n v="1168"/>
    <n v="9822"/>
    <s v="Pool Cover"/>
    <n v="58.3"/>
    <x v="0"/>
    <n v="40.100000000000009"/>
    <n v="8.0200000000000014"/>
    <s v="Doug"/>
    <x v="2"/>
    <s v="CA"/>
  </r>
  <r>
    <s v="Dec"/>
    <n v="1169"/>
    <n v="8722"/>
    <s v="Water Pump"/>
    <n v="344"/>
    <x v="3"/>
    <n v="158"/>
    <n v="31.6"/>
    <s v="Doug"/>
    <x v="2"/>
    <s v="UT"/>
  </r>
  <r>
    <s v="Dec"/>
    <n v="1170"/>
    <n v="4421"/>
    <s v="Skimmer"/>
    <n v="45"/>
    <x v="5"/>
    <n v="42"/>
    <n v="8.4"/>
    <s v="Chalie"/>
    <x v="0"/>
    <s v="CA"/>
  </r>
  <r>
    <s v="Dec"/>
    <n v="1171"/>
    <n v="4421"/>
    <s v="Skimmer"/>
    <n v="45"/>
    <x v="5"/>
    <n v="42"/>
    <n v="8.4"/>
    <s v="Juan"/>
    <x v="1"/>
    <s v="N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5DB64F-FDF8-46FF-8515-08839431713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numFmtId="165" showAll="0"/>
    <pivotField showAll="0"/>
    <pivotField showAll="0"/>
    <pivotField numFmtId="166" showAll="0"/>
    <pivotField dataField="1" numFmtId="166" showAll="0">
      <items count="11">
        <item x="6"/>
        <item x="4"/>
        <item x="2"/>
        <item x="8"/>
        <item x="1"/>
        <item x="9"/>
        <item x="5"/>
        <item x="0"/>
        <item x="7"/>
        <item x="3"/>
        <item t="default"/>
      </items>
    </pivotField>
    <pivotField numFmtId="166" showAll="0"/>
    <pivotField numFmtId="166" showAll="0"/>
    <pivotField showAll="0"/>
    <pivotField axis="axisRow" showAll="0">
      <items count="5">
        <item x="0"/>
        <item x="1"/>
        <item x="3"/>
        <item x="2"/>
        <item t="default"/>
      </items>
    </pivotField>
    <pivotField showAll="0"/>
  </pivotFields>
  <rowFields count="1">
    <field x="9"/>
  </rowFields>
  <rowItems count="5">
    <i>
      <x/>
    </i>
    <i>
      <x v="1"/>
    </i>
    <i>
      <x v="2"/>
    </i>
    <i>
      <x v="3"/>
    </i>
    <i t="grand">
      <x/>
    </i>
  </rowItems>
  <colItems count="1">
    <i/>
  </colItems>
  <dataFields count="1">
    <dataField name="Sum of Sale Price"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F6AC-839B-4E5C-823F-044032F3030E}">
  <dimension ref="A1:L199"/>
  <sheetViews>
    <sheetView tabSelected="1" topLeftCell="A37" workbookViewId="0">
      <selection activeCell="A199" sqref="A199:XFD199"/>
    </sheetView>
  </sheetViews>
  <sheetFormatPr defaultRowHeight="14.5" x14ac:dyDescent="0.35"/>
  <cols>
    <col min="2" max="2" width="12" customWidth="1"/>
    <col min="3" max="3" width="14.90625" customWidth="1"/>
    <col min="4" max="4" width="17" customWidth="1"/>
    <col min="5" max="5" width="13.81640625" style="3" customWidth="1"/>
    <col min="6" max="6" width="10.90625" style="3" bestFit="1" customWidth="1"/>
    <col min="8" max="8" width="14.7265625" customWidth="1"/>
    <col min="9" max="10" width="14.81640625" customWidth="1"/>
    <col min="11" max="11" width="11.54296875" customWidth="1"/>
    <col min="12" max="12" width="14.81640625" style="12" customWidth="1"/>
  </cols>
  <sheetData>
    <row r="1" spans="1:12" s="6" customFormat="1" ht="72.5" x14ac:dyDescent="0.35">
      <c r="A1" s="6" t="s">
        <v>0</v>
      </c>
      <c r="B1" s="6" t="s">
        <v>1</v>
      </c>
      <c r="C1" s="6" t="s">
        <v>2</v>
      </c>
      <c r="D1" s="6" t="s">
        <v>3</v>
      </c>
      <c r="E1" s="7" t="s">
        <v>4</v>
      </c>
      <c r="F1" s="7" t="s">
        <v>5</v>
      </c>
      <c r="G1" s="6" t="s">
        <v>6</v>
      </c>
      <c r="H1" s="6" t="s">
        <v>66</v>
      </c>
      <c r="I1" s="6" t="s">
        <v>63</v>
      </c>
      <c r="J1" s="6" t="s">
        <v>64</v>
      </c>
      <c r="K1" s="6" t="s">
        <v>8</v>
      </c>
      <c r="L1" s="10" t="s">
        <v>7</v>
      </c>
    </row>
    <row r="2" spans="1:12" x14ac:dyDescent="0.35">
      <c r="A2" s="1" t="s">
        <v>9</v>
      </c>
      <c r="B2" s="2">
        <v>1001</v>
      </c>
      <c r="C2">
        <v>9822</v>
      </c>
      <c r="D2" t="s">
        <v>10</v>
      </c>
      <c r="E2" s="3">
        <v>58.3</v>
      </c>
      <c r="F2" s="3">
        <v>98.4</v>
      </c>
      <c r="G2" s="3">
        <f>F2-E2</f>
        <v>40.100000000000009</v>
      </c>
      <c r="H2" s="3">
        <f>IF(F2&gt;50,G2*0.2,G2*0.1)</f>
        <v>8.0200000000000014</v>
      </c>
      <c r="I2" t="s">
        <v>54</v>
      </c>
      <c r="J2" t="s">
        <v>55</v>
      </c>
      <c r="K2" t="s">
        <v>12</v>
      </c>
      <c r="L2" s="11" t="s">
        <v>11</v>
      </c>
    </row>
    <row r="3" spans="1:12" x14ac:dyDescent="0.35">
      <c r="A3" s="1" t="s">
        <v>9</v>
      </c>
      <c r="B3" s="2">
        <v>1002</v>
      </c>
      <c r="C3">
        <v>2877</v>
      </c>
      <c r="D3" t="s">
        <v>13</v>
      </c>
      <c r="E3" s="3">
        <v>11.4</v>
      </c>
      <c r="F3" s="3">
        <v>16.3</v>
      </c>
      <c r="G3" s="3">
        <f t="shared" ref="G3:G66" si="0">F3-E3</f>
        <v>4.9000000000000004</v>
      </c>
      <c r="H3" s="3">
        <f t="shared" ref="H3:H66" si="1">IF(F3&gt;50,G3*0.2,G3*0.1)</f>
        <v>0.49000000000000005</v>
      </c>
      <c r="I3" t="s">
        <v>56</v>
      </c>
      <c r="J3" t="s">
        <v>57</v>
      </c>
      <c r="K3" t="s">
        <v>15</v>
      </c>
      <c r="L3" s="11" t="s">
        <v>14</v>
      </c>
    </row>
    <row r="4" spans="1:12" x14ac:dyDescent="0.35">
      <c r="A4" s="1" t="s">
        <v>9</v>
      </c>
      <c r="B4" s="2">
        <v>1003</v>
      </c>
      <c r="C4">
        <v>2499</v>
      </c>
      <c r="D4" t="s">
        <v>16</v>
      </c>
      <c r="E4" s="3">
        <v>6.2</v>
      </c>
      <c r="F4" s="3">
        <v>9.1999999999999993</v>
      </c>
      <c r="G4" s="3">
        <f t="shared" si="0"/>
        <v>2.9999999999999991</v>
      </c>
      <c r="H4" s="3">
        <f t="shared" si="1"/>
        <v>0.29999999999999993</v>
      </c>
      <c r="I4" t="s">
        <v>58</v>
      </c>
      <c r="J4" t="s">
        <v>59</v>
      </c>
      <c r="K4" t="s">
        <v>18</v>
      </c>
      <c r="L4" s="11" t="s">
        <v>17</v>
      </c>
    </row>
    <row r="5" spans="1:12" x14ac:dyDescent="0.35">
      <c r="A5" s="1" t="s">
        <v>9</v>
      </c>
      <c r="B5" s="2">
        <v>1004</v>
      </c>
      <c r="C5">
        <v>8722</v>
      </c>
      <c r="D5" t="s">
        <v>19</v>
      </c>
      <c r="E5" s="3">
        <v>344</v>
      </c>
      <c r="F5" s="3">
        <v>502</v>
      </c>
      <c r="G5" s="3">
        <f t="shared" si="0"/>
        <v>158</v>
      </c>
      <c r="H5" s="3">
        <f t="shared" si="1"/>
        <v>31.6</v>
      </c>
      <c r="I5" t="s">
        <v>54</v>
      </c>
      <c r="J5" t="s">
        <v>55</v>
      </c>
      <c r="K5" t="s">
        <v>18</v>
      </c>
      <c r="L5" s="11" t="s">
        <v>11</v>
      </c>
    </row>
    <row r="6" spans="1:12" x14ac:dyDescent="0.35">
      <c r="A6" s="1" t="s">
        <v>9</v>
      </c>
      <c r="B6" s="2">
        <v>1005</v>
      </c>
      <c r="C6">
        <v>1109</v>
      </c>
      <c r="D6" t="s">
        <v>20</v>
      </c>
      <c r="E6" s="3">
        <v>3</v>
      </c>
      <c r="F6" s="3">
        <v>8</v>
      </c>
      <c r="G6" s="3">
        <f t="shared" si="0"/>
        <v>5</v>
      </c>
      <c r="H6" s="3">
        <f t="shared" si="1"/>
        <v>0.5</v>
      </c>
      <c r="I6" t="s">
        <v>58</v>
      </c>
      <c r="J6" t="s">
        <v>59</v>
      </c>
      <c r="K6" t="s">
        <v>18</v>
      </c>
      <c r="L6" s="11" t="s">
        <v>17</v>
      </c>
    </row>
    <row r="7" spans="1:12" x14ac:dyDescent="0.35">
      <c r="A7" s="1" t="s">
        <v>9</v>
      </c>
      <c r="B7" s="2">
        <v>1006</v>
      </c>
      <c r="C7">
        <v>9822</v>
      </c>
      <c r="D7" t="s">
        <v>10</v>
      </c>
      <c r="E7" s="3">
        <v>58.3</v>
      </c>
      <c r="F7" s="3">
        <v>98.4</v>
      </c>
      <c r="G7" s="3">
        <f t="shared" si="0"/>
        <v>40.100000000000009</v>
      </c>
      <c r="H7" s="3">
        <f t="shared" si="1"/>
        <v>8.0200000000000014</v>
      </c>
      <c r="I7" t="s">
        <v>58</v>
      </c>
      <c r="J7" t="s">
        <v>59</v>
      </c>
      <c r="K7" t="s">
        <v>18</v>
      </c>
      <c r="L7" s="11" t="s">
        <v>17</v>
      </c>
    </row>
    <row r="8" spans="1:12" x14ac:dyDescent="0.35">
      <c r="A8" s="1" t="s">
        <v>9</v>
      </c>
      <c r="B8" s="2">
        <v>1007</v>
      </c>
      <c r="C8">
        <v>1109</v>
      </c>
      <c r="D8" t="s">
        <v>20</v>
      </c>
      <c r="E8" s="3">
        <v>3</v>
      </c>
      <c r="F8" s="3">
        <v>8</v>
      </c>
      <c r="G8" s="3">
        <f t="shared" si="0"/>
        <v>5</v>
      </c>
      <c r="H8" s="3">
        <f t="shared" si="1"/>
        <v>0.5</v>
      </c>
      <c r="I8" t="s">
        <v>60</v>
      </c>
      <c r="J8" t="s">
        <v>61</v>
      </c>
      <c r="K8" t="s">
        <v>12</v>
      </c>
      <c r="L8" s="11" t="s">
        <v>21</v>
      </c>
    </row>
    <row r="9" spans="1:12" x14ac:dyDescent="0.35">
      <c r="A9" s="1" t="s">
        <v>9</v>
      </c>
      <c r="B9" s="2">
        <v>1008</v>
      </c>
      <c r="C9">
        <v>2877</v>
      </c>
      <c r="D9" t="s">
        <v>13</v>
      </c>
      <c r="E9" s="3">
        <v>11.4</v>
      </c>
      <c r="F9" s="3">
        <v>16.3</v>
      </c>
      <c r="G9" s="3">
        <f t="shared" si="0"/>
        <v>4.9000000000000004</v>
      </c>
      <c r="H9" s="3">
        <f t="shared" si="1"/>
        <v>0.49000000000000005</v>
      </c>
      <c r="I9" t="s">
        <v>58</v>
      </c>
      <c r="J9" t="s">
        <v>59</v>
      </c>
      <c r="K9" t="s">
        <v>12</v>
      </c>
      <c r="L9" s="11" t="s">
        <v>17</v>
      </c>
    </row>
    <row r="10" spans="1:12" x14ac:dyDescent="0.35">
      <c r="A10" s="1" t="s">
        <v>9</v>
      </c>
      <c r="B10" s="2">
        <v>1009</v>
      </c>
      <c r="C10">
        <v>1109</v>
      </c>
      <c r="D10" t="s">
        <v>20</v>
      </c>
      <c r="E10" s="3">
        <v>3</v>
      </c>
      <c r="F10" s="3">
        <v>8</v>
      </c>
      <c r="G10" s="3">
        <f t="shared" si="0"/>
        <v>5</v>
      </c>
      <c r="H10" s="3">
        <f t="shared" si="1"/>
        <v>0.5</v>
      </c>
      <c r="I10" t="s">
        <v>58</v>
      </c>
      <c r="J10" t="s">
        <v>59</v>
      </c>
      <c r="K10" t="s">
        <v>18</v>
      </c>
      <c r="L10" s="11" t="s">
        <v>17</v>
      </c>
    </row>
    <row r="11" spans="1:12" x14ac:dyDescent="0.35">
      <c r="A11" s="1" t="s">
        <v>9</v>
      </c>
      <c r="B11" s="2">
        <v>1010</v>
      </c>
      <c r="C11">
        <v>2877</v>
      </c>
      <c r="D11" t="s">
        <v>13</v>
      </c>
      <c r="E11" s="3">
        <v>11.4</v>
      </c>
      <c r="F11" s="3">
        <v>16.3</v>
      </c>
      <c r="G11" s="3">
        <f t="shared" si="0"/>
        <v>4.9000000000000004</v>
      </c>
      <c r="H11" s="3">
        <f t="shared" si="1"/>
        <v>0.49000000000000005</v>
      </c>
      <c r="I11" t="s">
        <v>56</v>
      </c>
      <c r="J11" t="s">
        <v>57</v>
      </c>
      <c r="K11" t="s">
        <v>22</v>
      </c>
      <c r="L11" s="11" t="s">
        <v>14</v>
      </c>
    </row>
    <row r="12" spans="1:12" x14ac:dyDescent="0.35">
      <c r="A12" s="1" t="s">
        <v>9</v>
      </c>
      <c r="B12" s="2">
        <v>1011</v>
      </c>
      <c r="C12">
        <v>2877</v>
      </c>
      <c r="D12" t="s">
        <v>13</v>
      </c>
      <c r="E12" s="3">
        <v>11.4</v>
      </c>
      <c r="F12" s="3">
        <v>16.3</v>
      </c>
      <c r="G12" s="3">
        <f t="shared" si="0"/>
        <v>4.9000000000000004</v>
      </c>
      <c r="H12" s="3">
        <f t="shared" si="1"/>
        <v>0.49000000000000005</v>
      </c>
      <c r="I12" t="s">
        <v>56</v>
      </c>
      <c r="J12" t="s">
        <v>57</v>
      </c>
      <c r="K12" t="s">
        <v>18</v>
      </c>
      <c r="L12" s="11" t="s">
        <v>14</v>
      </c>
    </row>
    <row r="13" spans="1:12" x14ac:dyDescent="0.35">
      <c r="A13" s="1" t="s">
        <v>9</v>
      </c>
      <c r="B13" s="2">
        <v>1012</v>
      </c>
      <c r="C13">
        <v>4421</v>
      </c>
      <c r="D13" t="s">
        <v>23</v>
      </c>
      <c r="E13" s="3">
        <v>45</v>
      </c>
      <c r="F13" s="3">
        <v>87</v>
      </c>
      <c r="G13" s="3">
        <f t="shared" si="0"/>
        <v>42</v>
      </c>
      <c r="H13" s="3">
        <f t="shared" si="1"/>
        <v>8.4</v>
      </c>
      <c r="I13" t="s">
        <v>58</v>
      </c>
      <c r="J13" t="s">
        <v>59</v>
      </c>
      <c r="K13" t="s">
        <v>12</v>
      </c>
      <c r="L13" s="11" t="s">
        <v>17</v>
      </c>
    </row>
    <row r="14" spans="1:12" x14ac:dyDescent="0.35">
      <c r="A14" s="1" t="s">
        <v>9</v>
      </c>
      <c r="B14" s="2">
        <v>1013</v>
      </c>
      <c r="C14">
        <v>9212</v>
      </c>
      <c r="D14" t="s">
        <v>24</v>
      </c>
      <c r="E14" s="3">
        <v>4</v>
      </c>
      <c r="F14" s="3">
        <v>7</v>
      </c>
      <c r="G14" s="3">
        <f t="shared" si="0"/>
        <v>3</v>
      </c>
      <c r="H14" s="3">
        <f t="shared" si="1"/>
        <v>0.30000000000000004</v>
      </c>
      <c r="I14" t="s">
        <v>60</v>
      </c>
      <c r="J14" t="s">
        <v>61</v>
      </c>
      <c r="K14" t="s">
        <v>22</v>
      </c>
      <c r="L14" s="11" t="s">
        <v>21</v>
      </c>
    </row>
    <row r="15" spans="1:12" x14ac:dyDescent="0.35">
      <c r="A15" s="1" t="s">
        <v>9</v>
      </c>
      <c r="B15" s="2">
        <v>1014</v>
      </c>
      <c r="C15">
        <v>8722</v>
      </c>
      <c r="D15" t="s">
        <v>19</v>
      </c>
      <c r="E15" s="3">
        <v>344</v>
      </c>
      <c r="F15" s="3">
        <v>502</v>
      </c>
      <c r="G15" s="3">
        <f t="shared" si="0"/>
        <v>158</v>
      </c>
      <c r="H15" s="3">
        <f t="shared" si="1"/>
        <v>31.6</v>
      </c>
      <c r="I15" t="s">
        <v>54</v>
      </c>
      <c r="J15" t="s">
        <v>55</v>
      </c>
      <c r="K15" t="s">
        <v>15</v>
      </c>
      <c r="L15" s="11" t="s">
        <v>11</v>
      </c>
    </row>
    <row r="16" spans="1:12" x14ac:dyDescent="0.35">
      <c r="A16" s="1" t="s">
        <v>9</v>
      </c>
      <c r="B16" s="2">
        <v>1015</v>
      </c>
      <c r="C16">
        <v>2877</v>
      </c>
      <c r="D16" t="s">
        <v>13</v>
      </c>
      <c r="E16" s="3">
        <v>11.4</v>
      </c>
      <c r="F16" s="3">
        <v>16.3</v>
      </c>
      <c r="G16" s="3">
        <f t="shared" si="0"/>
        <v>4.9000000000000004</v>
      </c>
      <c r="H16" s="3">
        <f t="shared" si="1"/>
        <v>0.49000000000000005</v>
      </c>
      <c r="I16" t="s">
        <v>60</v>
      </c>
      <c r="J16" t="s">
        <v>61</v>
      </c>
      <c r="K16" t="s">
        <v>18</v>
      </c>
      <c r="L16" s="11" t="s">
        <v>21</v>
      </c>
    </row>
    <row r="17" spans="1:12" x14ac:dyDescent="0.35">
      <c r="A17" s="1" t="s">
        <v>9</v>
      </c>
      <c r="B17" s="2">
        <v>1016</v>
      </c>
      <c r="C17">
        <v>2499</v>
      </c>
      <c r="D17" t="s">
        <v>16</v>
      </c>
      <c r="E17" s="3">
        <v>6.2</v>
      </c>
      <c r="F17" s="3">
        <v>9.1999999999999993</v>
      </c>
      <c r="G17" s="3">
        <f t="shared" si="0"/>
        <v>2.9999999999999991</v>
      </c>
      <c r="H17" s="3">
        <f t="shared" si="1"/>
        <v>0.29999999999999993</v>
      </c>
      <c r="I17" t="s">
        <v>58</v>
      </c>
      <c r="J17" t="s">
        <v>59</v>
      </c>
      <c r="K17" t="s">
        <v>15</v>
      </c>
      <c r="L17" s="11" t="s">
        <v>17</v>
      </c>
    </row>
    <row r="18" spans="1:12" x14ac:dyDescent="0.35">
      <c r="A18" s="1" t="s">
        <v>25</v>
      </c>
      <c r="B18" s="2">
        <v>1017</v>
      </c>
      <c r="C18">
        <v>2242</v>
      </c>
      <c r="D18" t="s">
        <v>26</v>
      </c>
      <c r="E18" s="3">
        <v>60</v>
      </c>
      <c r="F18" s="3">
        <v>124</v>
      </c>
      <c r="G18" s="3">
        <f t="shared" si="0"/>
        <v>64</v>
      </c>
      <c r="H18" s="3">
        <f t="shared" si="1"/>
        <v>12.8</v>
      </c>
      <c r="I18" t="s">
        <v>56</v>
      </c>
      <c r="J18" t="s">
        <v>57</v>
      </c>
      <c r="K18" t="s">
        <v>12</v>
      </c>
      <c r="L18" s="11" t="s">
        <v>14</v>
      </c>
    </row>
    <row r="19" spans="1:12" x14ac:dyDescent="0.35">
      <c r="A19" s="1" t="s">
        <v>25</v>
      </c>
      <c r="B19" s="2">
        <v>1018</v>
      </c>
      <c r="C19">
        <v>1109</v>
      </c>
      <c r="D19" t="s">
        <v>20</v>
      </c>
      <c r="E19" s="3">
        <v>3</v>
      </c>
      <c r="F19" s="3">
        <v>8</v>
      </c>
      <c r="G19" s="3">
        <f t="shared" si="0"/>
        <v>5</v>
      </c>
      <c r="H19" s="3">
        <f t="shared" si="1"/>
        <v>0.5</v>
      </c>
      <c r="I19" t="s">
        <v>58</v>
      </c>
      <c r="J19" t="s">
        <v>59</v>
      </c>
      <c r="K19" t="s">
        <v>15</v>
      </c>
      <c r="L19" s="11" t="s">
        <v>17</v>
      </c>
    </row>
    <row r="20" spans="1:12" x14ac:dyDescent="0.35">
      <c r="A20" s="1" t="s">
        <v>25</v>
      </c>
      <c r="B20" s="2">
        <v>1019</v>
      </c>
      <c r="C20">
        <v>2499</v>
      </c>
      <c r="D20" t="s">
        <v>16</v>
      </c>
      <c r="E20" s="3">
        <v>6.2</v>
      </c>
      <c r="F20" s="3">
        <v>9.1999999999999993</v>
      </c>
      <c r="G20" s="3">
        <f t="shared" si="0"/>
        <v>2.9999999999999991</v>
      </c>
      <c r="H20" s="3">
        <f t="shared" si="1"/>
        <v>0.29999999999999993</v>
      </c>
      <c r="I20" t="s">
        <v>58</v>
      </c>
      <c r="J20" t="s">
        <v>59</v>
      </c>
      <c r="K20" t="s">
        <v>22</v>
      </c>
      <c r="L20" s="11" t="s">
        <v>17</v>
      </c>
    </row>
    <row r="21" spans="1:12" x14ac:dyDescent="0.35">
      <c r="A21" s="1" t="s">
        <v>25</v>
      </c>
      <c r="B21" s="2">
        <v>1020</v>
      </c>
      <c r="C21">
        <v>2499</v>
      </c>
      <c r="D21" t="s">
        <v>16</v>
      </c>
      <c r="E21" s="3">
        <v>6.2</v>
      </c>
      <c r="F21" s="3">
        <v>9.1999999999999993</v>
      </c>
      <c r="G21" s="3">
        <f t="shared" si="0"/>
        <v>2.9999999999999991</v>
      </c>
      <c r="H21" s="3">
        <f t="shared" si="1"/>
        <v>0.29999999999999993</v>
      </c>
      <c r="I21" t="s">
        <v>58</v>
      </c>
      <c r="J21" t="s">
        <v>59</v>
      </c>
      <c r="K21" t="s">
        <v>27</v>
      </c>
      <c r="L21" s="11" t="s">
        <v>17</v>
      </c>
    </row>
    <row r="22" spans="1:12" x14ac:dyDescent="0.35">
      <c r="A22" s="1" t="s">
        <v>25</v>
      </c>
      <c r="B22" s="2">
        <v>1021</v>
      </c>
      <c r="C22">
        <v>1109</v>
      </c>
      <c r="D22" t="s">
        <v>20</v>
      </c>
      <c r="E22" s="3">
        <v>3</v>
      </c>
      <c r="F22" s="3">
        <v>8</v>
      </c>
      <c r="G22" s="3">
        <f t="shared" si="0"/>
        <v>5</v>
      </c>
      <c r="H22" s="3">
        <f t="shared" si="1"/>
        <v>0.5</v>
      </c>
      <c r="I22" t="s">
        <v>56</v>
      </c>
      <c r="J22" t="s">
        <v>57</v>
      </c>
      <c r="K22" t="s">
        <v>22</v>
      </c>
      <c r="L22" s="11" t="s">
        <v>14</v>
      </c>
    </row>
    <row r="23" spans="1:12" x14ac:dyDescent="0.35">
      <c r="A23" s="1" t="s">
        <v>25</v>
      </c>
      <c r="B23" s="2">
        <v>1022</v>
      </c>
      <c r="C23">
        <v>2877</v>
      </c>
      <c r="D23" t="s">
        <v>13</v>
      </c>
      <c r="E23" s="3">
        <v>11.4</v>
      </c>
      <c r="F23" s="3">
        <v>16.3</v>
      </c>
      <c r="G23" s="3">
        <f t="shared" si="0"/>
        <v>4.9000000000000004</v>
      </c>
      <c r="H23" s="3">
        <f t="shared" si="1"/>
        <v>0.49000000000000005</v>
      </c>
      <c r="I23" t="s">
        <v>58</v>
      </c>
      <c r="J23" t="s">
        <v>59</v>
      </c>
      <c r="K23" t="s">
        <v>28</v>
      </c>
      <c r="L23" s="11" t="s">
        <v>17</v>
      </c>
    </row>
    <row r="24" spans="1:12" x14ac:dyDescent="0.35">
      <c r="A24" s="1" t="s">
        <v>25</v>
      </c>
      <c r="B24" s="2">
        <v>1023</v>
      </c>
      <c r="C24">
        <v>1109</v>
      </c>
      <c r="D24" t="s">
        <v>20</v>
      </c>
      <c r="E24" s="3">
        <v>3</v>
      </c>
      <c r="F24" s="3">
        <v>8</v>
      </c>
      <c r="G24" s="3">
        <f t="shared" si="0"/>
        <v>5</v>
      </c>
      <c r="H24" s="3">
        <f t="shared" si="1"/>
        <v>0.5</v>
      </c>
      <c r="I24" t="s">
        <v>60</v>
      </c>
      <c r="J24" t="s">
        <v>61</v>
      </c>
      <c r="K24" t="s">
        <v>12</v>
      </c>
      <c r="L24" s="11" t="s">
        <v>21</v>
      </c>
    </row>
    <row r="25" spans="1:12" x14ac:dyDescent="0.35">
      <c r="A25" s="1" t="s">
        <v>25</v>
      </c>
      <c r="B25" s="2">
        <v>1024</v>
      </c>
      <c r="C25">
        <v>9212</v>
      </c>
      <c r="D25" t="s">
        <v>24</v>
      </c>
      <c r="E25" s="3">
        <v>4</v>
      </c>
      <c r="F25" s="3">
        <v>7</v>
      </c>
      <c r="G25" s="3">
        <f t="shared" si="0"/>
        <v>3</v>
      </c>
      <c r="H25" s="3">
        <f t="shared" si="1"/>
        <v>0.30000000000000004</v>
      </c>
      <c r="I25" t="s">
        <v>56</v>
      </c>
      <c r="J25" t="s">
        <v>57</v>
      </c>
      <c r="K25" t="s">
        <v>28</v>
      </c>
      <c r="L25" s="11" t="s">
        <v>14</v>
      </c>
    </row>
    <row r="26" spans="1:12" x14ac:dyDescent="0.35">
      <c r="A26" s="1" t="s">
        <v>25</v>
      </c>
      <c r="B26" s="2">
        <v>1025</v>
      </c>
      <c r="C26">
        <v>2877</v>
      </c>
      <c r="D26" t="s">
        <v>13</v>
      </c>
      <c r="E26" s="3">
        <v>11.4</v>
      </c>
      <c r="F26" s="3">
        <v>16.3</v>
      </c>
      <c r="G26" s="3">
        <f t="shared" si="0"/>
        <v>4.9000000000000004</v>
      </c>
      <c r="H26" s="3">
        <f t="shared" si="1"/>
        <v>0.49000000000000005</v>
      </c>
      <c r="I26" t="s">
        <v>60</v>
      </c>
      <c r="J26" t="s">
        <v>61</v>
      </c>
      <c r="K26" t="s">
        <v>27</v>
      </c>
      <c r="L26" s="11" t="s">
        <v>21</v>
      </c>
    </row>
    <row r="27" spans="1:12" x14ac:dyDescent="0.35">
      <c r="A27" s="1" t="s">
        <v>25</v>
      </c>
      <c r="B27" s="2">
        <v>1026</v>
      </c>
      <c r="C27">
        <v>6119</v>
      </c>
      <c r="D27" t="s">
        <v>29</v>
      </c>
      <c r="E27" s="3">
        <v>9</v>
      </c>
      <c r="F27" s="3">
        <v>14</v>
      </c>
      <c r="G27" s="3">
        <f t="shared" si="0"/>
        <v>5</v>
      </c>
      <c r="H27" s="3">
        <f t="shared" si="1"/>
        <v>0.5</v>
      </c>
      <c r="I27" t="s">
        <v>60</v>
      </c>
      <c r="J27" t="s">
        <v>61</v>
      </c>
      <c r="K27" t="s">
        <v>12</v>
      </c>
      <c r="L27" s="11" t="s">
        <v>21</v>
      </c>
    </row>
    <row r="28" spans="1:12" x14ac:dyDescent="0.35">
      <c r="A28" s="1" t="s">
        <v>25</v>
      </c>
      <c r="B28" s="2">
        <v>1027</v>
      </c>
      <c r="C28">
        <v>6119</v>
      </c>
      <c r="D28" t="s">
        <v>29</v>
      </c>
      <c r="E28" s="3">
        <v>9</v>
      </c>
      <c r="F28" s="3">
        <v>14</v>
      </c>
      <c r="G28" s="3">
        <f t="shared" si="0"/>
        <v>5</v>
      </c>
      <c r="H28" s="3">
        <f t="shared" si="1"/>
        <v>0.5</v>
      </c>
      <c r="I28" t="s">
        <v>54</v>
      </c>
      <c r="J28" t="s">
        <v>55</v>
      </c>
      <c r="K28" t="s">
        <v>27</v>
      </c>
      <c r="L28" s="11" t="s">
        <v>11</v>
      </c>
    </row>
    <row r="29" spans="1:12" x14ac:dyDescent="0.35">
      <c r="A29" s="1" t="s">
        <v>25</v>
      </c>
      <c r="B29" s="2">
        <v>1028</v>
      </c>
      <c r="C29">
        <v>8722</v>
      </c>
      <c r="D29" t="s">
        <v>19</v>
      </c>
      <c r="E29" s="3">
        <v>344</v>
      </c>
      <c r="F29" s="3">
        <v>502</v>
      </c>
      <c r="G29" s="3">
        <f t="shared" si="0"/>
        <v>158</v>
      </c>
      <c r="H29" s="3">
        <f t="shared" si="1"/>
        <v>31.6</v>
      </c>
      <c r="I29" t="s">
        <v>54</v>
      </c>
      <c r="J29" t="s">
        <v>55</v>
      </c>
      <c r="K29" t="s">
        <v>18</v>
      </c>
      <c r="L29" s="11" t="s">
        <v>11</v>
      </c>
    </row>
    <row r="30" spans="1:12" x14ac:dyDescent="0.35">
      <c r="A30" s="1" t="s">
        <v>25</v>
      </c>
      <c r="B30" s="2">
        <v>1029</v>
      </c>
      <c r="C30">
        <v>2499</v>
      </c>
      <c r="D30" t="s">
        <v>16</v>
      </c>
      <c r="E30" s="3">
        <v>6.2</v>
      </c>
      <c r="F30" s="3">
        <v>9.1999999999999993</v>
      </c>
      <c r="G30" s="3">
        <f t="shared" si="0"/>
        <v>2.9999999999999991</v>
      </c>
      <c r="H30" s="3">
        <f t="shared" si="1"/>
        <v>0.29999999999999993</v>
      </c>
      <c r="I30" t="s">
        <v>56</v>
      </c>
      <c r="J30" t="s">
        <v>57</v>
      </c>
      <c r="K30" t="s">
        <v>18</v>
      </c>
      <c r="L30" s="11" t="s">
        <v>14</v>
      </c>
    </row>
    <row r="31" spans="1:12" x14ac:dyDescent="0.35">
      <c r="A31" s="1" t="s">
        <v>25</v>
      </c>
      <c r="B31" s="2">
        <v>1030</v>
      </c>
      <c r="C31">
        <v>4421</v>
      </c>
      <c r="D31" t="s">
        <v>23</v>
      </c>
      <c r="E31" s="3">
        <v>45</v>
      </c>
      <c r="F31" s="3">
        <v>87</v>
      </c>
      <c r="G31" s="3">
        <f t="shared" si="0"/>
        <v>42</v>
      </c>
      <c r="H31" s="3">
        <f t="shared" si="1"/>
        <v>8.4</v>
      </c>
      <c r="I31" t="s">
        <v>56</v>
      </c>
      <c r="J31" t="s">
        <v>57</v>
      </c>
      <c r="K31" t="s">
        <v>27</v>
      </c>
      <c r="L31" s="11" t="s">
        <v>14</v>
      </c>
    </row>
    <row r="32" spans="1:12" x14ac:dyDescent="0.35">
      <c r="A32" s="1" t="s">
        <v>25</v>
      </c>
      <c r="B32" s="2">
        <v>1031</v>
      </c>
      <c r="C32">
        <v>1109</v>
      </c>
      <c r="D32" t="s">
        <v>20</v>
      </c>
      <c r="E32" s="3">
        <v>3</v>
      </c>
      <c r="F32" s="3">
        <v>8</v>
      </c>
      <c r="G32" s="3">
        <f t="shared" si="0"/>
        <v>5</v>
      </c>
      <c r="H32" s="3">
        <f t="shared" si="1"/>
        <v>0.5</v>
      </c>
      <c r="I32" t="s">
        <v>56</v>
      </c>
      <c r="J32" t="s">
        <v>57</v>
      </c>
      <c r="K32" t="s">
        <v>15</v>
      </c>
      <c r="L32" s="11" t="s">
        <v>14</v>
      </c>
    </row>
    <row r="33" spans="1:12" x14ac:dyDescent="0.35">
      <c r="A33" s="1" t="s">
        <v>25</v>
      </c>
      <c r="B33" s="2">
        <v>1032</v>
      </c>
      <c r="C33">
        <v>2877</v>
      </c>
      <c r="D33" t="s">
        <v>13</v>
      </c>
      <c r="E33" s="3">
        <v>11.4</v>
      </c>
      <c r="F33" s="3">
        <v>16.3</v>
      </c>
      <c r="G33" s="3">
        <f t="shared" si="0"/>
        <v>4.9000000000000004</v>
      </c>
      <c r="H33" s="3">
        <f t="shared" si="1"/>
        <v>0.49000000000000005</v>
      </c>
      <c r="I33" t="s">
        <v>54</v>
      </c>
      <c r="J33" t="s">
        <v>55</v>
      </c>
      <c r="K33" t="s">
        <v>18</v>
      </c>
      <c r="L33" s="11" t="s">
        <v>11</v>
      </c>
    </row>
    <row r="34" spans="1:12" x14ac:dyDescent="0.35">
      <c r="A34" s="1" t="s">
        <v>25</v>
      </c>
      <c r="B34" s="2">
        <v>1033</v>
      </c>
      <c r="C34">
        <v>9822</v>
      </c>
      <c r="D34" t="s">
        <v>10</v>
      </c>
      <c r="E34" s="3">
        <v>58.3</v>
      </c>
      <c r="F34" s="3">
        <v>98.4</v>
      </c>
      <c r="G34" s="3">
        <f t="shared" si="0"/>
        <v>40.100000000000009</v>
      </c>
      <c r="H34" s="3">
        <f t="shared" si="1"/>
        <v>8.0200000000000014</v>
      </c>
      <c r="I34" t="s">
        <v>56</v>
      </c>
      <c r="J34" t="s">
        <v>57</v>
      </c>
      <c r="K34" t="s">
        <v>15</v>
      </c>
      <c r="L34" s="11" t="s">
        <v>14</v>
      </c>
    </row>
    <row r="35" spans="1:12" x14ac:dyDescent="0.35">
      <c r="A35" s="1" t="s">
        <v>25</v>
      </c>
      <c r="B35" s="2">
        <v>1034</v>
      </c>
      <c r="C35">
        <v>2877</v>
      </c>
      <c r="D35" t="s">
        <v>13</v>
      </c>
      <c r="E35" s="3">
        <v>11.4</v>
      </c>
      <c r="F35" s="3">
        <v>16.3</v>
      </c>
      <c r="G35" s="3">
        <f t="shared" si="0"/>
        <v>4.9000000000000004</v>
      </c>
      <c r="H35" s="3">
        <f t="shared" si="1"/>
        <v>0.49000000000000005</v>
      </c>
      <c r="I35" t="s">
        <v>56</v>
      </c>
      <c r="J35" t="s">
        <v>57</v>
      </c>
      <c r="K35" t="s">
        <v>22</v>
      </c>
      <c r="L35" s="11" t="s">
        <v>14</v>
      </c>
    </row>
    <row r="36" spans="1:12" x14ac:dyDescent="0.35">
      <c r="A36" s="1" t="s">
        <v>30</v>
      </c>
      <c r="B36" s="2">
        <v>1035</v>
      </c>
      <c r="C36">
        <v>2499</v>
      </c>
      <c r="D36" t="s">
        <v>16</v>
      </c>
      <c r="E36" s="3">
        <v>6.2</v>
      </c>
      <c r="F36" s="3">
        <v>9.1999999999999993</v>
      </c>
      <c r="G36" s="3">
        <f t="shared" si="0"/>
        <v>2.9999999999999991</v>
      </c>
      <c r="H36" s="3">
        <f t="shared" si="1"/>
        <v>0.29999999999999993</v>
      </c>
      <c r="I36" t="s">
        <v>60</v>
      </c>
      <c r="J36" t="s">
        <v>61</v>
      </c>
      <c r="K36" t="s">
        <v>15</v>
      </c>
      <c r="L36" s="11" t="s">
        <v>21</v>
      </c>
    </row>
    <row r="37" spans="1:12" x14ac:dyDescent="0.35">
      <c r="A37" s="1" t="s">
        <v>30</v>
      </c>
      <c r="B37" s="2">
        <v>1036</v>
      </c>
      <c r="C37">
        <v>2499</v>
      </c>
      <c r="D37" t="s">
        <v>16</v>
      </c>
      <c r="E37" s="3">
        <v>6.2</v>
      </c>
      <c r="F37" s="3">
        <v>9.1999999999999993</v>
      </c>
      <c r="G37" s="3">
        <f t="shared" si="0"/>
        <v>2.9999999999999991</v>
      </c>
      <c r="H37" s="3">
        <f t="shared" si="1"/>
        <v>0.29999999999999993</v>
      </c>
      <c r="I37" t="s">
        <v>56</v>
      </c>
      <c r="J37" t="s">
        <v>57</v>
      </c>
      <c r="K37" t="s">
        <v>27</v>
      </c>
      <c r="L37" s="11" t="s">
        <v>14</v>
      </c>
    </row>
    <row r="38" spans="1:12" x14ac:dyDescent="0.35">
      <c r="A38" s="1" t="s">
        <v>30</v>
      </c>
      <c r="B38" s="2">
        <v>1037</v>
      </c>
      <c r="C38">
        <v>6622</v>
      </c>
      <c r="D38" t="s">
        <v>31</v>
      </c>
      <c r="E38" s="3">
        <v>42</v>
      </c>
      <c r="F38" s="3">
        <v>77</v>
      </c>
      <c r="G38" s="3">
        <f t="shared" si="0"/>
        <v>35</v>
      </c>
      <c r="H38" s="3">
        <f t="shared" si="1"/>
        <v>7</v>
      </c>
      <c r="I38" t="s">
        <v>56</v>
      </c>
      <c r="J38" t="s">
        <v>57</v>
      </c>
      <c r="K38" t="s">
        <v>27</v>
      </c>
      <c r="L38" s="11" t="s">
        <v>14</v>
      </c>
    </row>
    <row r="39" spans="1:12" x14ac:dyDescent="0.35">
      <c r="A39" s="1" t="s">
        <v>30</v>
      </c>
      <c r="B39" s="2">
        <v>1038</v>
      </c>
      <c r="C39">
        <v>2499</v>
      </c>
      <c r="D39" t="s">
        <v>16</v>
      </c>
      <c r="E39" s="3">
        <v>6.2</v>
      </c>
      <c r="F39" s="3">
        <v>9.1999999999999993</v>
      </c>
      <c r="G39" s="3">
        <f t="shared" si="0"/>
        <v>2.9999999999999991</v>
      </c>
      <c r="H39" s="3">
        <f t="shared" si="1"/>
        <v>0.29999999999999993</v>
      </c>
      <c r="I39" t="s">
        <v>56</v>
      </c>
      <c r="J39" t="s">
        <v>57</v>
      </c>
      <c r="K39" t="s">
        <v>27</v>
      </c>
      <c r="L39" s="11" t="s">
        <v>14</v>
      </c>
    </row>
    <row r="40" spans="1:12" x14ac:dyDescent="0.35">
      <c r="A40" s="1" t="s">
        <v>30</v>
      </c>
      <c r="B40" s="2">
        <v>1039</v>
      </c>
      <c r="C40">
        <v>2877</v>
      </c>
      <c r="D40" t="s">
        <v>13</v>
      </c>
      <c r="E40" s="3">
        <v>11.4</v>
      </c>
      <c r="F40" s="3">
        <v>16.3</v>
      </c>
      <c r="G40" s="3">
        <f t="shared" si="0"/>
        <v>4.9000000000000004</v>
      </c>
      <c r="H40" s="3">
        <f t="shared" si="1"/>
        <v>0.49000000000000005</v>
      </c>
      <c r="I40" t="s">
        <v>56</v>
      </c>
      <c r="J40" t="s">
        <v>57</v>
      </c>
      <c r="K40" t="s">
        <v>15</v>
      </c>
      <c r="L40" s="11" t="s">
        <v>14</v>
      </c>
    </row>
    <row r="41" spans="1:12" x14ac:dyDescent="0.35">
      <c r="A41" s="1" t="s">
        <v>30</v>
      </c>
      <c r="B41" s="2">
        <v>1040</v>
      </c>
      <c r="C41">
        <v>1109</v>
      </c>
      <c r="D41" t="s">
        <v>20</v>
      </c>
      <c r="E41" s="3">
        <v>3</v>
      </c>
      <c r="F41" s="3">
        <v>8</v>
      </c>
      <c r="G41" s="3">
        <f t="shared" si="0"/>
        <v>5</v>
      </c>
      <c r="H41" s="3">
        <f t="shared" si="1"/>
        <v>0.5</v>
      </c>
      <c r="I41" t="s">
        <v>56</v>
      </c>
      <c r="J41" t="s">
        <v>57</v>
      </c>
      <c r="K41" t="s">
        <v>18</v>
      </c>
      <c r="L41" s="11" t="s">
        <v>14</v>
      </c>
    </row>
    <row r="42" spans="1:12" x14ac:dyDescent="0.35">
      <c r="A42" s="1" t="s">
        <v>30</v>
      </c>
      <c r="B42" s="2">
        <v>1041</v>
      </c>
      <c r="C42">
        <v>2499</v>
      </c>
      <c r="D42" t="s">
        <v>16</v>
      </c>
      <c r="E42" s="3">
        <v>6.2</v>
      </c>
      <c r="F42" s="3">
        <v>9.1999999999999993</v>
      </c>
      <c r="G42" s="3">
        <f t="shared" si="0"/>
        <v>2.9999999999999991</v>
      </c>
      <c r="H42" s="3">
        <f t="shared" si="1"/>
        <v>0.29999999999999993</v>
      </c>
      <c r="I42" t="s">
        <v>54</v>
      </c>
      <c r="J42" t="s">
        <v>55</v>
      </c>
      <c r="K42" t="s">
        <v>12</v>
      </c>
      <c r="L42" s="11" t="s">
        <v>11</v>
      </c>
    </row>
    <row r="43" spans="1:12" x14ac:dyDescent="0.35">
      <c r="A43" s="1" t="s">
        <v>30</v>
      </c>
      <c r="B43" s="2">
        <v>1042</v>
      </c>
      <c r="C43">
        <v>8722</v>
      </c>
      <c r="D43" t="s">
        <v>19</v>
      </c>
      <c r="E43" s="3">
        <v>344</v>
      </c>
      <c r="F43" s="3">
        <v>502</v>
      </c>
      <c r="G43" s="3">
        <f t="shared" si="0"/>
        <v>158</v>
      </c>
      <c r="H43" s="3">
        <f t="shared" si="1"/>
        <v>31.6</v>
      </c>
      <c r="I43" t="s">
        <v>58</v>
      </c>
      <c r="J43" t="s">
        <v>59</v>
      </c>
      <c r="K43" t="s">
        <v>12</v>
      </c>
      <c r="L43" s="11" t="s">
        <v>17</v>
      </c>
    </row>
    <row r="44" spans="1:12" x14ac:dyDescent="0.35">
      <c r="A44" s="1" t="s">
        <v>30</v>
      </c>
      <c r="B44" s="2">
        <v>1043</v>
      </c>
      <c r="C44">
        <v>2242</v>
      </c>
      <c r="D44" t="s">
        <v>26</v>
      </c>
      <c r="E44" s="3">
        <v>60</v>
      </c>
      <c r="F44" s="3">
        <v>124</v>
      </c>
      <c r="G44" s="3">
        <f t="shared" si="0"/>
        <v>64</v>
      </c>
      <c r="H44" s="3">
        <f t="shared" si="1"/>
        <v>12.8</v>
      </c>
      <c r="I44" t="s">
        <v>58</v>
      </c>
      <c r="J44" t="s">
        <v>59</v>
      </c>
      <c r="K44" t="s">
        <v>15</v>
      </c>
      <c r="L44" s="11" t="s">
        <v>17</v>
      </c>
    </row>
    <row r="45" spans="1:12" x14ac:dyDescent="0.35">
      <c r="A45" s="1" t="s">
        <v>30</v>
      </c>
      <c r="B45" s="2">
        <v>1044</v>
      </c>
      <c r="C45">
        <v>2877</v>
      </c>
      <c r="D45" t="s">
        <v>13</v>
      </c>
      <c r="E45" s="3">
        <v>11.4</v>
      </c>
      <c r="F45" s="3">
        <v>16.3</v>
      </c>
      <c r="G45" s="3">
        <f t="shared" si="0"/>
        <v>4.9000000000000004</v>
      </c>
      <c r="H45" s="3">
        <f t="shared" si="1"/>
        <v>0.49000000000000005</v>
      </c>
      <c r="I45" t="s">
        <v>58</v>
      </c>
      <c r="J45" t="s">
        <v>59</v>
      </c>
      <c r="K45" t="s">
        <v>15</v>
      </c>
      <c r="L45" s="11" t="s">
        <v>17</v>
      </c>
    </row>
    <row r="46" spans="1:12" x14ac:dyDescent="0.35">
      <c r="A46" s="1" t="s">
        <v>30</v>
      </c>
      <c r="B46" s="2">
        <v>1045</v>
      </c>
      <c r="C46">
        <v>8722</v>
      </c>
      <c r="D46" t="s">
        <v>19</v>
      </c>
      <c r="E46" s="3">
        <v>344</v>
      </c>
      <c r="F46" s="3">
        <v>502</v>
      </c>
      <c r="G46" s="3">
        <f t="shared" si="0"/>
        <v>158</v>
      </c>
      <c r="H46" s="3">
        <f t="shared" si="1"/>
        <v>31.6</v>
      </c>
      <c r="I46" t="s">
        <v>60</v>
      </c>
      <c r="J46" t="s">
        <v>61</v>
      </c>
      <c r="K46" t="s">
        <v>18</v>
      </c>
      <c r="L46" s="11" t="s">
        <v>21</v>
      </c>
    </row>
    <row r="47" spans="1:12" x14ac:dyDescent="0.35">
      <c r="A47" s="1" t="s">
        <v>30</v>
      </c>
      <c r="B47" s="2">
        <v>1046</v>
      </c>
      <c r="C47">
        <v>6119</v>
      </c>
      <c r="D47" t="s">
        <v>29</v>
      </c>
      <c r="E47" s="3">
        <v>9</v>
      </c>
      <c r="F47" s="3">
        <v>14</v>
      </c>
      <c r="G47" s="3">
        <f t="shared" si="0"/>
        <v>5</v>
      </c>
      <c r="H47" s="3">
        <f t="shared" si="1"/>
        <v>0.5</v>
      </c>
      <c r="I47" t="s">
        <v>56</v>
      </c>
      <c r="J47" t="s">
        <v>57</v>
      </c>
      <c r="K47" t="s">
        <v>28</v>
      </c>
      <c r="L47" s="11" t="s">
        <v>14</v>
      </c>
    </row>
    <row r="48" spans="1:12" x14ac:dyDescent="0.35">
      <c r="A48" s="1" t="s">
        <v>30</v>
      </c>
      <c r="B48" s="2">
        <v>1047</v>
      </c>
      <c r="C48">
        <v>6622</v>
      </c>
      <c r="D48" t="s">
        <v>31</v>
      </c>
      <c r="E48" s="3">
        <v>42</v>
      </c>
      <c r="F48" s="3">
        <v>77</v>
      </c>
      <c r="G48" s="3">
        <f t="shared" si="0"/>
        <v>35</v>
      </c>
      <c r="H48" s="3">
        <f t="shared" si="1"/>
        <v>7</v>
      </c>
      <c r="I48" t="s">
        <v>60</v>
      </c>
      <c r="J48" t="s">
        <v>61</v>
      </c>
      <c r="K48" t="s">
        <v>18</v>
      </c>
      <c r="L48" s="11" t="s">
        <v>21</v>
      </c>
    </row>
    <row r="49" spans="1:12" x14ac:dyDescent="0.35">
      <c r="A49" s="1" t="s">
        <v>30</v>
      </c>
      <c r="B49" s="2">
        <v>1048</v>
      </c>
      <c r="C49">
        <v>8722</v>
      </c>
      <c r="D49" t="s">
        <v>19</v>
      </c>
      <c r="E49" s="3">
        <v>344</v>
      </c>
      <c r="F49" s="3">
        <v>502</v>
      </c>
      <c r="G49" s="3">
        <f t="shared" si="0"/>
        <v>158</v>
      </c>
      <c r="H49" s="3">
        <f t="shared" si="1"/>
        <v>31.6</v>
      </c>
      <c r="I49" t="s">
        <v>54</v>
      </c>
      <c r="J49" t="s">
        <v>55</v>
      </c>
      <c r="K49" t="s">
        <v>18</v>
      </c>
      <c r="L49" s="11" t="s">
        <v>11</v>
      </c>
    </row>
    <row r="50" spans="1:12" x14ac:dyDescent="0.35">
      <c r="A50" s="1" t="s">
        <v>32</v>
      </c>
      <c r="B50" s="2">
        <v>1049</v>
      </c>
      <c r="C50">
        <v>2499</v>
      </c>
      <c r="D50" t="s">
        <v>16</v>
      </c>
      <c r="E50" s="3">
        <v>6.2</v>
      </c>
      <c r="F50" s="3">
        <v>9.1999999999999993</v>
      </c>
      <c r="G50" s="3">
        <f t="shared" si="0"/>
        <v>2.9999999999999991</v>
      </c>
      <c r="H50" s="3">
        <f t="shared" si="1"/>
        <v>0.29999999999999993</v>
      </c>
      <c r="I50" t="s">
        <v>54</v>
      </c>
      <c r="J50" t="s">
        <v>55</v>
      </c>
      <c r="K50" t="s">
        <v>22</v>
      </c>
      <c r="L50" s="11" t="s">
        <v>11</v>
      </c>
    </row>
    <row r="51" spans="1:12" x14ac:dyDescent="0.35">
      <c r="A51" s="1" t="s">
        <v>32</v>
      </c>
      <c r="B51" s="2">
        <v>1050</v>
      </c>
      <c r="C51">
        <v>2877</v>
      </c>
      <c r="D51" t="s">
        <v>13</v>
      </c>
      <c r="E51" s="3">
        <v>11.4</v>
      </c>
      <c r="F51" s="3">
        <v>16.3</v>
      </c>
      <c r="G51" s="3">
        <f t="shared" si="0"/>
        <v>4.9000000000000004</v>
      </c>
      <c r="H51" s="3">
        <f t="shared" si="1"/>
        <v>0.49000000000000005</v>
      </c>
      <c r="I51" t="s">
        <v>54</v>
      </c>
      <c r="J51" t="s">
        <v>55</v>
      </c>
      <c r="K51" t="s">
        <v>18</v>
      </c>
      <c r="L51" s="11" t="s">
        <v>11</v>
      </c>
    </row>
    <row r="52" spans="1:12" x14ac:dyDescent="0.35">
      <c r="A52" s="1" t="s">
        <v>32</v>
      </c>
      <c r="B52" s="2">
        <v>1051</v>
      </c>
      <c r="C52">
        <v>6119</v>
      </c>
      <c r="D52" t="s">
        <v>29</v>
      </c>
      <c r="E52" s="3">
        <v>9</v>
      </c>
      <c r="F52" s="3">
        <v>14</v>
      </c>
      <c r="G52" s="3">
        <f t="shared" si="0"/>
        <v>5</v>
      </c>
      <c r="H52" s="3">
        <f t="shared" si="1"/>
        <v>0.5</v>
      </c>
      <c r="I52" t="s">
        <v>58</v>
      </c>
      <c r="J52" t="s">
        <v>59</v>
      </c>
      <c r="K52" t="s">
        <v>28</v>
      </c>
      <c r="L52" s="11" t="s">
        <v>17</v>
      </c>
    </row>
    <row r="53" spans="1:12" x14ac:dyDescent="0.35">
      <c r="A53" s="1" t="s">
        <v>32</v>
      </c>
      <c r="B53" s="2">
        <v>1052</v>
      </c>
      <c r="C53">
        <v>6622</v>
      </c>
      <c r="D53" t="s">
        <v>31</v>
      </c>
      <c r="E53" s="3">
        <v>42</v>
      </c>
      <c r="F53" s="3">
        <v>77</v>
      </c>
      <c r="G53" s="3">
        <f t="shared" si="0"/>
        <v>35</v>
      </c>
      <c r="H53" s="3">
        <f t="shared" si="1"/>
        <v>7</v>
      </c>
      <c r="I53" t="s">
        <v>58</v>
      </c>
      <c r="J53" t="s">
        <v>59</v>
      </c>
      <c r="K53" t="s">
        <v>18</v>
      </c>
      <c r="L53" s="11" t="s">
        <v>17</v>
      </c>
    </row>
    <row r="54" spans="1:12" x14ac:dyDescent="0.35">
      <c r="A54" s="1" t="s">
        <v>32</v>
      </c>
      <c r="B54" s="2">
        <v>1053</v>
      </c>
      <c r="C54">
        <v>2242</v>
      </c>
      <c r="D54" t="s">
        <v>26</v>
      </c>
      <c r="E54" s="3">
        <v>60</v>
      </c>
      <c r="F54" s="3">
        <v>124</v>
      </c>
      <c r="G54" s="3">
        <f t="shared" si="0"/>
        <v>64</v>
      </c>
      <c r="H54" s="3">
        <f t="shared" si="1"/>
        <v>12.8</v>
      </c>
      <c r="I54" t="s">
        <v>54</v>
      </c>
      <c r="J54" t="s">
        <v>55</v>
      </c>
      <c r="K54" t="s">
        <v>15</v>
      </c>
      <c r="L54" s="11" t="s">
        <v>11</v>
      </c>
    </row>
    <row r="55" spans="1:12" x14ac:dyDescent="0.35">
      <c r="A55" s="1" t="s">
        <v>32</v>
      </c>
      <c r="B55" s="2">
        <v>1054</v>
      </c>
      <c r="C55">
        <v>4421</v>
      </c>
      <c r="D55" t="s">
        <v>23</v>
      </c>
      <c r="E55" s="3">
        <v>45</v>
      </c>
      <c r="F55" s="3">
        <v>87</v>
      </c>
      <c r="G55" s="3">
        <f t="shared" si="0"/>
        <v>42</v>
      </c>
      <c r="H55" s="3">
        <f t="shared" si="1"/>
        <v>8.4</v>
      </c>
      <c r="I55" t="s">
        <v>58</v>
      </c>
      <c r="J55" t="s">
        <v>59</v>
      </c>
      <c r="K55" t="s">
        <v>27</v>
      </c>
      <c r="L55" s="11" t="s">
        <v>17</v>
      </c>
    </row>
    <row r="56" spans="1:12" x14ac:dyDescent="0.35">
      <c r="A56" s="1" t="s">
        <v>32</v>
      </c>
      <c r="B56" s="2">
        <v>1055</v>
      </c>
      <c r="C56">
        <v>6119</v>
      </c>
      <c r="D56" t="s">
        <v>29</v>
      </c>
      <c r="E56" s="3">
        <v>9</v>
      </c>
      <c r="F56" s="3">
        <v>14</v>
      </c>
      <c r="G56" s="3">
        <f t="shared" si="0"/>
        <v>5</v>
      </c>
      <c r="H56" s="3">
        <f t="shared" si="1"/>
        <v>0.5</v>
      </c>
      <c r="I56" t="s">
        <v>56</v>
      </c>
      <c r="J56" t="s">
        <v>57</v>
      </c>
      <c r="K56" t="s">
        <v>27</v>
      </c>
      <c r="L56" s="11" t="s">
        <v>14</v>
      </c>
    </row>
    <row r="57" spans="1:12" x14ac:dyDescent="0.35">
      <c r="A57" s="1" t="s">
        <v>32</v>
      </c>
      <c r="B57" s="2">
        <v>1056</v>
      </c>
      <c r="C57">
        <v>1109</v>
      </c>
      <c r="D57" t="s">
        <v>20</v>
      </c>
      <c r="E57" s="3">
        <v>3</v>
      </c>
      <c r="F57" s="3">
        <v>8</v>
      </c>
      <c r="G57" s="3">
        <f t="shared" si="0"/>
        <v>5</v>
      </c>
      <c r="H57" s="3">
        <f t="shared" si="1"/>
        <v>0.5</v>
      </c>
      <c r="I57" t="s">
        <v>58</v>
      </c>
      <c r="J57" t="s">
        <v>59</v>
      </c>
      <c r="K57" t="s">
        <v>15</v>
      </c>
      <c r="L57" s="11" t="s">
        <v>17</v>
      </c>
    </row>
    <row r="58" spans="1:12" x14ac:dyDescent="0.35">
      <c r="A58" s="1" t="s">
        <v>32</v>
      </c>
      <c r="B58" s="2">
        <v>1057</v>
      </c>
      <c r="C58">
        <v>2499</v>
      </c>
      <c r="D58" t="s">
        <v>16</v>
      </c>
      <c r="E58" s="3">
        <v>6.2</v>
      </c>
      <c r="F58" s="3">
        <v>9.1999999999999993</v>
      </c>
      <c r="G58" s="3">
        <f t="shared" si="0"/>
        <v>2.9999999999999991</v>
      </c>
      <c r="H58" s="3">
        <f t="shared" si="1"/>
        <v>0.29999999999999993</v>
      </c>
      <c r="I58" t="s">
        <v>56</v>
      </c>
      <c r="J58" t="s">
        <v>57</v>
      </c>
      <c r="K58" t="s">
        <v>15</v>
      </c>
      <c r="L58" s="11" t="s">
        <v>14</v>
      </c>
    </row>
    <row r="59" spans="1:12" x14ac:dyDescent="0.35">
      <c r="A59" s="1" t="s">
        <v>32</v>
      </c>
      <c r="B59" s="2">
        <v>1058</v>
      </c>
      <c r="C59">
        <v>6119</v>
      </c>
      <c r="D59" t="s">
        <v>29</v>
      </c>
      <c r="E59" s="3">
        <v>9</v>
      </c>
      <c r="F59" s="3">
        <v>14</v>
      </c>
      <c r="G59" s="3">
        <f t="shared" si="0"/>
        <v>5</v>
      </c>
      <c r="H59" s="3">
        <f t="shared" si="1"/>
        <v>0.5</v>
      </c>
      <c r="I59" t="s">
        <v>60</v>
      </c>
      <c r="J59" t="s">
        <v>61</v>
      </c>
      <c r="K59" t="s">
        <v>18</v>
      </c>
      <c r="L59" s="11" t="s">
        <v>21</v>
      </c>
    </row>
    <row r="60" spans="1:12" x14ac:dyDescent="0.35">
      <c r="A60" s="1" t="s">
        <v>32</v>
      </c>
      <c r="B60" s="2">
        <v>1059</v>
      </c>
      <c r="C60">
        <v>2242</v>
      </c>
      <c r="D60" t="s">
        <v>26</v>
      </c>
      <c r="E60" s="3">
        <v>60</v>
      </c>
      <c r="F60" s="3">
        <v>124</v>
      </c>
      <c r="G60" s="3">
        <f t="shared" si="0"/>
        <v>64</v>
      </c>
      <c r="H60" s="3">
        <f t="shared" si="1"/>
        <v>12.8</v>
      </c>
      <c r="I60" t="s">
        <v>58</v>
      </c>
      <c r="J60" t="s">
        <v>59</v>
      </c>
      <c r="K60" t="s">
        <v>18</v>
      </c>
      <c r="L60" s="11" t="s">
        <v>17</v>
      </c>
    </row>
    <row r="61" spans="1:12" x14ac:dyDescent="0.35">
      <c r="A61" s="1" t="s">
        <v>32</v>
      </c>
      <c r="B61" s="2">
        <v>1060</v>
      </c>
      <c r="C61">
        <v>6119</v>
      </c>
      <c r="D61" t="s">
        <v>29</v>
      </c>
      <c r="E61" s="3">
        <v>9</v>
      </c>
      <c r="F61" s="3">
        <v>14</v>
      </c>
      <c r="G61" s="3">
        <f t="shared" si="0"/>
        <v>5</v>
      </c>
      <c r="H61" s="3">
        <f t="shared" si="1"/>
        <v>0.5</v>
      </c>
      <c r="I61" t="s">
        <v>58</v>
      </c>
      <c r="J61" t="s">
        <v>59</v>
      </c>
      <c r="K61" t="s">
        <v>27</v>
      </c>
      <c r="L61" s="11" t="s">
        <v>17</v>
      </c>
    </row>
    <row r="62" spans="1:12" x14ac:dyDescent="0.35">
      <c r="A62" s="1" t="s">
        <v>33</v>
      </c>
      <c r="B62" s="2">
        <v>1061</v>
      </c>
      <c r="C62">
        <v>1109</v>
      </c>
      <c r="D62" t="s">
        <v>20</v>
      </c>
      <c r="E62" s="3">
        <v>3</v>
      </c>
      <c r="F62" s="3">
        <v>8</v>
      </c>
      <c r="G62" s="3">
        <f t="shared" si="0"/>
        <v>5</v>
      </c>
      <c r="H62" s="3">
        <f t="shared" si="1"/>
        <v>0.5</v>
      </c>
      <c r="I62" t="s">
        <v>58</v>
      </c>
      <c r="J62" t="s">
        <v>59</v>
      </c>
      <c r="K62" t="s">
        <v>27</v>
      </c>
      <c r="L62" s="11" t="s">
        <v>17</v>
      </c>
    </row>
    <row r="63" spans="1:12" x14ac:dyDescent="0.35">
      <c r="A63" s="1" t="s">
        <v>33</v>
      </c>
      <c r="B63" s="2">
        <v>1062</v>
      </c>
      <c r="C63">
        <v>2499</v>
      </c>
      <c r="D63" t="s">
        <v>16</v>
      </c>
      <c r="E63" s="3">
        <v>6.2</v>
      </c>
      <c r="F63" s="3">
        <v>9.1999999999999993</v>
      </c>
      <c r="G63" s="3">
        <f t="shared" si="0"/>
        <v>2.9999999999999991</v>
      </c>
      <c r="H63" s="3">
        <f t="shared" si="1"/>
        <v>0.29999999999999993</v>
      </c>
      <c r="I63" t="s">
        <v>54</v>
      </c>
      <c r="J63" t="s">
        <v>55</v>
      </c>
      <c r="K63" t="s">
        <v>18</v>
      </c>
      <c r="L63" s="11" t="s">
        <v>11</v>
      </c>
    </row>
    <row r="64" spans="1:12" x14ac:dyDescent="0.35">
      <c r="A64" s="1" t="s">
        <v>33</v>
      </c>
      <c r="B64" s="2">
        <v>1063</v>
      </c>
      <c r="C64">
        <v>1109</v>
      </c>
      <c r="D64" t="s">
        <v>20</v>
      </c>
      <c r="E64" s="3">
        <v>3</v>
      </c>
      <c r="F64" s="3">
        <v>8</v>
      </c>
      <c r="G64" s="3">
        <f t="shared" si="0"/>
        <v>5</v>
      </c>
      <c r="H64" s="3">
        <f t="shared" si="1"/>
        <v>0.5</v>
      </c>
      <c r="I64" t="s">
        <v>58</v>
      </c>
      <c r="J64" t="s">
        <v>59</v>
      </c>
      <c r="K64" t="s">
        <v>15</v>
      </c>
      <c r="L64" s="11" t="s">
        <v>17</v>
      </c>
    </row>
    <row r="65" spans="1:12" x14ac:dyDescent="0.35">
      <c r="A65" s="1" t="s">
        <v>33</v>
      </c>
      <c r="B65" s="2">
        <v>1064</v>
      </c>
      <c r="C65">
        <v>2499</v>
      </c>
      <c r="D65" t="s">
        <v>16</v>
      </c>
      <c r="E65" s="3">
        <v>6.2</v>
      </c>
      <c r="F65" s="3">
        <v>9.1999999999999993</v>
      </c>
      <c r="G65" s="3">
        <f t="shared" si="0"/>
        <v>2.9999999999999991</v>
      </c>
      <c r="H65" s="3">
        <f t="shared" si="1"/>
        <v>0.29999999999999993</v>
      </c>
      <c r="I65" t="s">
        <v>60</v>
      </c>
      <c r="J65" t="s">
        <v>61</v>
      </c>
      <c r="K65" t="s">
        <v>18</v>
      </c>
      <c r="L65" s="11" t="s">
        <v>21</v>
      </c>
    </row>
    <row r="66" spans="1:12" x14ac:dyDescent="0.35">
      <c r="A66" s="1" t="s">
        <v>33</v>
      </c>
      <c r="B66" s="2">
        <v>1065</v>
      </c>
      <c r="C66">
        <v>2499</v>
      </c>
      <c r="D66" t="s">
        <v>16</v>
      </c>
      <c r="E66" s="3">
        <v>6.2</v>
      </c>
      <c r="F66" s="3">
        <v>9.1999999999999993</v>
      </c>
      <c r="G66" s="3">
        <f t="shared" si="0"/>
        <v>2.9999999999999991</v>
      </c>
      <c r="H66" s="3">
        <f t="shared" si="1"/>
        <v>0.29999999999999993</v>
      </c>
      <c r="I66" t="s">
        <v>58</v>
      </c>
      <c r="J66" t="s">
        <v>59</v>
      </c>
      <c r="K66" t="s">
        <v>12</v>
      </c>
      <c r="L66" s="11" t="s">
        <v>17</v>
      </c>
    </row>
    <row r="67" spans="1:12" x14ac:dyDescent="0.35">
      <c r="A67" s="1" t="s">
        <v>33</v>
      </c>
      <c r="B67" s="2">
        <v>1066</v>
      </c>
      <c r="C67">
        <v>2877</v>
      </c>
      <c r="D67" t="s">
        <v>13</v>
      </c>
      <c r="E67" s="3">
        <v>11.4</v>
      </c>
      <c r="F67" s="3">
        <v>16.3</v>
      </c>
      <c r="G67" s="3">
        <f t="shared" ref="G67:G130" si="2">F67-E67</f>
        <v>4.9000000000000004</v>
      </c>
      <c r="H67" s="3">
        <f t="shared" ref="H67:H130" si="3">IF(F67&gt;50,G67*0.2,G67*0.1)</f>
        <v>0.49000000000000005</v>
      </c>
      <c r="I67" t="s">
        <v>58</v>
      </c>
      <c r="J67" t="s">
        <v>59</v>
      </c>
      <c r="K67" t="s">
        <v>27</v>
      </c>
      <c r="L67" s="11" t="s">
        <v>17</v>
      </c>
    </row>
    <row r="68" spans="1:12" x14ac:dyDescent="0.35">
      <c r="A68" s="1" t="s">
        <v>33</v>
      </c>
      <c r="B68" s="2">
        <v>1067</v>
      </c>
      <c r="C68">
        <v>2877</v>
      </c>
      <c r="D68" t="s">
        <v>13</v>
      </c>
      <c r="E68" s="3">
        <v>11.4</v>
      </c>
      <c r="F68" s="3">
        <v>16.3</v>
      </c>
      <c r="G68" s="3">
        <f t="shared" si="2"/>
        <v>4.9000000000000004</v>
      </c>
      <c r="H68" s="3">
        <f t="shared" si="3"/>
        <v>0.49000000000000005</v>
      </c>
      <c r="I68" t="s">
        <v>58</v>
      </c>
      <c r="J68" t="s">
        <v>59</v>
      </c>
      <c r="K68" t="s">
        <v>28</v>
      </c>
      <c r="L68" s="11" t="s">
        <v>17</v>
      </c>
    </row>
    <row r="69" spans="1:12" x14ac:dyDescent="0.35">
      <c r="A69" s="1" t="s">
        <v>33</v>
      </c>
      <c r="B69" s="2">
        <v>1068</v>
      </c>
      <c r="C69">
        <v>6119</v>
      </c>
      <c r="D69" t="s">
        <v>29</v>
      </c>
      <c r="E69" s="3">
        <v>9</v>
      </c>
      <c r="F69" s="3">
        <v>14</v>
      </c>
      <c r="G69" s="3">
        <f t="shared" si="2"/>
        <v>5</v>
      </c>
      <c r="H69" s="3">
        <f t="shared" si="3"/>
        <v>0.5</v>
      </c>
      <c r="I69" t="s">
        <v>56</v>
      </c>
      <c r="J69" t="s">
        <v>57</v>
      </c>
      <c r="K69" t="s">
        <v>15</v>
      </c>
      <c r="L69" s="11" t="s">
        <v>14</v>
      </c>
    </row>
    <row r="70" spans="1:12" x14ac:dyDescent="0.35">
      <c r="A70" s="1" t="s">
        <v>33</v>
      </c>
      <c r="B70" s="2">
        <v>1069</v>
      </c>
      <c r="C70">
        <v>1109</v>
      </c>
      <c r="D70" t="s">
        <v>20</v>
      </c>
      <c r="E70" s="3">
        <v>3</v>
      </c>
      <c r="F70" s="3">
        <v>8</v>
      </c>
      <c r="G70" s="3">
        <f t="shared" si="2"/>
        <v>5</v>
      </c>
      <c r="H70" s="3">
        <f t="shared" si="3"/>
        <v>0.5</v>
      </c>
      <c r="I70" t="s">
        <v>58</v>
      </c>
      <c r="J70" t="s">
        <v>59</v>
      </c>
      <c r="K70" t="s">
        <v>18</v>
      </c>
      <c r="L70" s="11" t="s">
        <v>17</v>
      </c>
    </row>
    <row r="71" spans="1:12" x14ac:dyDescent="0.35">
      <c r="A71" s="1" t="s">
        <v>33</v>
      </c>
      <c r="B71" s="2">
        <v>1070</v>
      </c>
      <c r="C71">
        <v>2499</v>
      </c>
      <c r="D71" t="s">
        <v>16</v>
      </c>
      <c r="E71" s="3">
        <v>6.2</v>
      </c>
      <c r="F71" s="3">
        <v>9.1999999999999993</v>
      </c>
      <c r="G71" s="3">
        <f t="shared" si="2"/>
        <v>2.9999999999999991</v>
      </c>
      <c r="H71" s="3">
        <f t="shared" si="3"/>
        <v>0.29999999999999993</v>
      </c>
      <c r="I71" t="s">
        <v>60</v>
      </c>
      <c r="J71" t="s">
        <v>61</v>
      </c>
      <c r="K71" t="s">
        <v>18</v>
      </c>
      <c r="L71" s="11" t="s">
        <v>21</v>
      </c>
    </row>
    <row r="72" spans="1:12" x14ac:dyDescent="0.35">
      <c r="A72" s="1" t="s">
        <v>33</v>
      </c>
      <c r="B72" s="2">
        <v>1071</v>
      </c>
      <c r="C72">
        <v>1109</v>
      </c>
      <c r="D72" t="s">
        <v>20</v>
      </c>
      <c r="E72" s="3">
        <v>3</v>
      </c>
      <c r="F72" s="3">
        <v>8</v>
      </c>
      <c r="G72" s="3">
        <f t="shared" si="2"/>
        <v>5</v>
      </c>
      <c r="H72" s="3">
        <f t="shared" si="3"/>
        <v>0.5</v>
      </c>
      <c r="I72" t="s">
        <v>54</v>
      </c>
      <c r="J72" t="s">
        <v>55</v>
      </c>
      <c r="K72" t="s">
        <v>18</v>
      </c>
      <c r="L72" s="11" t="s">
        <v>11</v>
      </c>
    </row>
    <row r="73" spans="1:12" x14ac:dyDescent="0.35">
      <c r="A73" s="1" t="s">
        <v>33</v>
      </c>
      <c r="B73" s="2">
        <v>1072</v>
      </c>
      <c r="C73">
        <v>1109</v>
      </c>
      <c r="D73" t="s">
        <v>20</v>
      </c>
      <c r="E73" s="3">
        <v>3</v>
      </c>
      <c r="F73" s="3">
        <v>8</v>
      </c>
      <c r="G73" s="3">
        <f t="shared" si="2"/>
        <v>5</v>
      </c>
      <c r="H73" s="3">
        <f t="shared" si="3"/>
        <v>0.5</v>
      </c>
      <c r="I73" t="s">
        <v>58</v>
      </c>
      <c r="J73" t="s">
        <v>59</v>
      </c>
      <c r="K73" t="s">
        <v>27</v>
      </c>
      <c r="L73" s="11" t="s">
        <v>17</v>
      </c>
    </row>
    <row r="74" spans="1:12" x14ac:dyDescent="0.35">
      <c r="A74" s="1" t="s">
        <v>33</v>
      </c>
      <c r="B74" s="2">
        <v>1073</v>
      </c>
      <c r="C74">
        <v>6622</v>
      </c>
      <c r="D74" t="s">
        <v>31</v>
      </c>
      <c r="E74" s="3">
        <v>42</v>
      </c>
      <c r="F74" s="3">
        <v>77</v>
      </c>
      <c r="G74" s="3">
        <f t="shared" si="2"/>
        <v>35</v>
      </c>
      <c r="H74" s="3">
        <f t="shared" si="3"/>
        <v>7</v>
      </c>
      <c r="I74" t="s">
        <v>58</v>
      </c>
      <c r="J74" t="s">
        <v>59</v>
      </c>
      <c r="K74" t="s">
        <v>15</v>
      </c>
      <c r="L74" s="11" t="s">
        <v>17</v>
      </c>
    </row>
    <row r="75" spans="1:12" x14ac:dyDescent="0.35">
      <c r="A75" s="1" t="s">
        <v>33</v>
      </c>
      <c r="B75" s="2">
        <v>1074</v>
      </c>
      <c r="C75">
        <v>2877</v>
      </c>
      <c r="D75" t="s">
        <v>13</v>
      </c>
      <c r="E75" s="3">
        <v>11.4</v>
      </c>
      <c r="F75" s="3">
        <v>16.3</v>
      </c>
      <c r="G75" s="3">
        <f t="shared" si="2"/>
        <v>4.9000000000000004</v>
      </c>
      <c r="H75" s="3">
        <f t="shared" si="3"/>
        <v>0.49000000000000005</v>
      </c>
      <c r="I75" t="s">
        <v>58</v>
      </c>
      <c r="J75" t="s">
        <v>59</v>
      </c>
      <c r="K75" t="s">
        <v>18</v>
      </c>
      <c r="L75" s="11" t="s">
        <v>17</v>
      </c>
    </row>
    <row r="76" spans="1:12" x14ac:dyDescent="0.35">
      <c r="A76" s="1" t="s">
        <v>33</v>
      </c>
      <c r="B76" s="2">
        <v>1075</v>
      </c>
      <c r="C76">
        <v>1109</v>
      </c>
      <c r="D76" t="s">
        <v>20</v>
      </c>
      <c r="E76" s="3">
        <v>3</v>
      </c>
      <c r="F76" s="3">
        <v>8</v>
      </c>
      <c r="G76" s="3">
        <f t="shared" si="2"/>
        <v>5</v>
      </c>
      <c r="H76" s="3">
        <f t="shared" si="3"/>
        <v>0.5</v>
      </c>
      <c r="I76" t="s">
        <v>60</v>
      </c>
      <c r="J76" t="s">
        <v>61</v>
      </c>
      <c r="K76" t="s">
        <v>15</v>
      </c>
      <c r="L76" s="11" t="s">
        <v>21</v>
      </c>
    </row>
    <row r="77" spans="1:12" x14ac:dyDescent="0.35">
      <c r="A77" s="1" t="s">
        <v>33</v>
      </c>
      <c r="B77" s="2">
        <v>1076</v>
      </c>
      <c r="C77">
        <v>1109</v>
      </c>
      <c r="D77" t="s">
        <v>20</v>
      </c>
      <c r="E77" s="3">
        <v>3</v>
      </c>
      <c r="F77" s="3">
        <v>8</v>
      </c>
      <c r="G77" s="3">
        <f t="shared" si="2"/>
        <v>5</v>
      </c>
      <c r="H77" s="3">
        <f t="shared" si="3"/>
        <v>0.5</v>
      </c>
      <c r="I77" t="s">
        <v>56</v>
      </c>
      <c r="J77" t="s">
        <v>57</v>
      </c>
      <c r="K77" t="s">
        <v>18</v>
      </c>
      <c r="L77" s="11" t="s">
        <v>14</v>
      </c>
    </row>
    <row r="78" spans="1:12" x14ac:dyDescent="0.35">
      <c r="A78" s="1" t="s">
        <v>33</v>
      </c>
      <c r="B78" s="2">
        <v>1077</v>
      </c>
      <c r="C78">
        <v>9822</v>
      </c>
      <c r="D78" t="s">
        <v>10</v>
      </c>
      <c r="E78" s="3">
        <v>58.3</v>
      </c>
      <c r="F78" s="3">
        <v>98.4</v>
      </c>
      <c r="G78" s="3">
        <f t="shared" si="2"/>
        <v>40.100000000000009</v>
      </c>
      <c r="H78" s="3">
        <f t="shared" si="3"/>
        <v>8.0200000000000014</v>
      </c>
      <c r="I78" t="s">
        <v>60</v>
      </c>
      <c r="J78" t="s">
        <v>61</v>
      </c>
      <c r="K78" t="s">
        <v>18</v>
      </c>
      <c r="L78" s="11" t="s">
        <v>21</v>
      </c>
    </row>
    <row r="79" spans="1:12" x14ac:dyDescent="0.35">
      <c r="A79" s="1" t="s">
        <v>33</v>
      </c>
      <c r="B79" s="2">
        <v>1078</v>
      </c>
      <c r="C79">
        <v>2877</v>
      </c>
      <c r="D79" t="s">
        <v>13</v>
      </c>
      <c r="E79" s="3">
        <v>11.4</v>
      </c>
      <c r="F79" s="3">
        <v>16.3</v>
      </c>
      <c r="G79" s="3">
        <f t="shared" si="2"/>
        <v>4.9000000000000004</v>
      </c>
      <c r="H79" s="3">
        <f t="shared" si="3"/>
        <v>0.49000000000000005</v>
      </c>
      <c r="I79" t="s">
        <v>56</v>
      </c>
      <c r="J79" t="s">
        <v>57</v>
      </c>
      <c r="K79" t="s">
        <v>27</v>
      </c>
      <c r="L79" s="11" t="s">
        <v>14</v>
      </c>
    </row>
    <row r="80" spans="1:12" x14ac:dyDescent="0.35">
      <c r="A80" s="1" t="s">
        <v>34</v>
      </c>
      <c r="B80" s="2">
        <v>1079</v>
      </c>
      <c r="C80">
        <v>2877</v>
      </c>
      <c r="D80" t="s">
        <v>13</v>
      </c>
      <c r="E80" s="3">
        <v>11.4</v>
      </c>
      <c r="F80" s="3">
        <v>16.3</v>
      </c>
      <c r="G80" s="3">
        <f t="shared" si="2"/>
        <v>4.9000000000000004</v>
      </c>
      <c r="H80" s="3">
        <f t="shared" si="3"/>
        <v>0.49000000000000005</v>
      </c>
      <c r="I80" t="s">
        <v>56</v>
      </c>
      <c r="J80" t="s">
        <v>57</v>
      </c>
      <c r="K80" t="s">
        <v>12</v>
      </c>
      <c r="L80" s="11" t="s">
        <v>14</v>
      </c>
    </row>
    <row r="81" spans="1:12" x14ac:dyDescent="0.35">
      <c r="A81" s="1" t="s">
        <v>34</v>
      </c>
      <c r="B81" s="2">
        <v>1080</v>
      </c>
      <c r="C81">
        <v>4421</v>
      </c>
      <c r="D81" t="s">
        <v>23</v>
      </c>
      <c r="E81" s="3">
        <v>45</v>
      </c>
      <c r="F81" s="3">
        <v>87</v>
      </c>
      <c r="G81" s="3">
        <f t="shared" si="2"/>
        <v>42</v>
      </c>
      <c r="H81" s="3">
        <f t="shared" si="3"/>
        <v>8.4</v>
      </c>
      <c r="I81" t="s">
        <v>58</v>
      </c>
      <c r="J81" t="s">
        <v>59</v>
      </c>
      <c r="K81" t="s">
        <v>15</v>
      </c>
      <c r="L81" s="11" t="s">
        <v>17</v>
      </c>
    </row>
    <row r="82" spans="1:12" x14ac:dyDescent="0.35">
      <c r="A82" s="1" t="s">
        <v>34</v>
      </c>
      <c r="B82" s="2">
        <v>1081</v>
      </c>
      <c r="C82">
        <v>6119</v>
      </c>
      <c r="D82" t="s">
        <v>29</v>
      </c>
      <c r="E82" s="3">
        <v>9</v>
      </c>
      <c r="F82" s="3">
        <v>14</v>
      </c>
      <c r="G82" s="3">
        <f t="shared" si="2"/>
        <v>5</v>
      </c>
      <c r="H82" s="3">
        <f t="shared" si="3"/>
        <v>0.5</v>
      </c>
      <c r="I82" t="s">
        <v>58</v>
      </c>
      <c r="J82" t="s">
        <v>59</v>
      </c>
      <c r="K82" t="s">
        <v>28</v>
      </c>
      <c r="L82" s="11" t="s">
        <v>17</v>
      </c>
    </row>
    <row r="83" spans="1:12" x14ac:dyDescent="0.35">
      <c r="A83" s="1" t="s">
        <v>34</v>
      </c>
      <c r="B83" s="2">
        <v>1082</v>
      </c>
      <c r="C83">
        <v>1109</v>
      </c>
      <c r="D83" t="s">
        <v>20</v>
      </c>
      <c r="E83" s="3">
        <v>3</v>
      </c>
      <c r="F83" s="3">
        <v>8</v>
      </c>
      <c r="G83" s="3">
        <f t="shared" si="2"/>
        <v>5</v>
      </c>
      <c r="H83" s="3">
        <f t="shared" si="3"/>
        <v>0.5</v>
      </c>
      <c r="I83" t="s">
        <v>54</v>
      </c>
      <c r="J83" t="s">
        <v>55</v>
      </c>
      <c r="K83" t="s">
        <v>15</v>
      </c>
      <c r="L83" s="11" t="s">
        <v>11</v>
      </c>
    </row>
    <row r="84" spans="1:12" x14ac:dyDescent="0.35">
      <c r="A84" s="1" t="s">
        <v>34</v>
      </c>
      <c r="B84" s="2">
        <v>1083</v>
      </c>
      <c r="C84">
        <v>1109</v>
      </c>
      <c r="D84" t="s">
        <v>20</v>
      </c>
      <c r="E84" s="3">
        <v>3</v>
      </c>
      <c r="F84" s="3">
        <v>8</v>
      </c>
      <c r="G84" s="3">
        <f t="shared" si="2"/>
        <v>5</v>
      </c>
      <c r="H84" s="3">
        <f t="shared" si="3"/>
        <v>0.5</v>
      </c>
      <c r="I84" t="s">
        <v>54</v>
      </c>
      <c r="J84" t="s">
        <v>55</v>
      </c>
      <c r="K84" t="s">
        <v>27</v>
      </c>
      <c r="L84" s="11" t="s">
        <v>11</v>
      </c>
    </row>
    <row r="85" spans="1:12" x14ac:dyDescent="0.35">
      <c r="A85" s="1" t="s">
        <v>34</v>
      </c>
      <c r="B85" s="2">
        <v>1084</v>
      </c>
      <c r="C85">
        <v>6119</v>
      </c>
      <c r="D85" t="s">
        <v>29</v>
      </c>
      <c r="E85" s="3">
        <v>9</v>
      </c>
      <c r="F85" s="3">
        <v>14</v>
      </c>
      <c r="G85" s="3">
        <f t="shared" si="2"/>
        <v>5</v>
      </c>
      <c r="H85" s="3">
        <f t="shared" si="3"/>
        <v>0.5</v>
      </c>
      <c r="I85" t="s">
        <v>54</v>
      </c>
      <c r="J85" t="s">
        <v>55</v>
      </c>
      <c r="K85" t="s">
        <v>18</v>
      </c>
      <c r="L85" s="11" t="s">
        <v>11</v>
      </c>
    </row>
    <row r="86" spans="1:12" x14ac:dyDescent="0.35">
      <c r="A86" s="1" t="s">
        <v>34</v>
      </c>
      <c r="B86" s="2">
        <v>1085</v>
      </c>
      <c r="C86">
        <v>9822</v>
      </c>
      <c r="D86" t="s">
        <v>10</v>
      </c>
      <c r="E86" s="3">
        <v>58.3</v>
      </c>
      <c r="F86" s="3">
        <v>98.4</v>
      </c>
      <c r="G86" s="3">
        <f t="shared" si="2"/>
        <v>40.100000000000009</v>
      </c>
      <c r="H86" s="3">
        <f t="shared" si="3"/>
        <v>8.0200000000000014</v>
      </c>
      <c r="I86" t="s">
        <v>58</v>
      </c>
      <c r="J86" t="s">
        <v>59</v>
      </c>
      <c r="K86" t="s">
        <v>27</v>
      </c>
      <c r="L86" s="11" t="s">
        <v>17</v>
      </c>
    </row>
    <row r="87" spans="1:12" x14ac:dyDescent="0.35">
      <c r="A87" s="1" t="s">
        <v>34</v>
      </c>
      <c r="B87" s="2">
        <v>1086</v>
      </c>
      <c r="C87">
        <v>1109</v>
      </c>
      <c r="D87" t="s">
        <v>20</v>
      </c>
      <c r="E87" s="3">
        <v>3</v>
      </c>
      <c r="F87" s="3">
        <v>8</v>
      </c>
      <c r="G87" s="3">
        <f t="shared" si="2"/>
        <v>5</v>
      </c>
      <c r="H87" s="3">
        <f t="shared" si="3"/>
        <v>0.5</v>
      </c>
      <c r="I87" t="s">
        <v>60</v>
      </c>
      <c r="J87" t="s">
        <v>61</v>
      </c>
      <c r="K87" t="s">
        <v>18</v>
      </c>
      <c r="L87" s="11" t="s">
        <v>21</v>
      </c>
    </row>
    <row r="88" spans="1:12" x14ac:dyDescent="0.35">
      <c r="A88" s="1" t="s">
        <v>34</v>
      </c>
      <c r="B88" s="2">
        <v>1087</v>
      </c>
      <c r="C88">
        <v>2499</v>
      </c>
      <c r="D88" t="s">
        <v>16</v>
      </c>
      <c r="E88" s="3">
        <v>6.2</v>
      </c>
      <c r="F88" s="3">
        <v>9.1999999999999993</v>
      </c>
      <c r="G88" s="3">
        <f t="shared" si="2"/>
        <v>2.9999999999999991</v>
      </c>
      <c r="H88" s="3">
        <f t="shared" si="3"/>
        <v>0.29999999999999993</v>
      </c>
      <c r="I88" t="s">
        <v>54</v>
      </c>
      <c r="J88" t="s">
        <v>55</v>
      </c>
      <c r="K88" t="s">
        <v>15</v>
      </c>
      <c r="L88" s="11" t="s">
        <v>11</v>
      </c>
    </row>
    <row r="89" spans="1:12" x14ac:dyDescent="0.35">
      <c r="A89" s="1" t="s">
        <v>34</v>
      </c>
      <c r="B89" s="2">
        <v>1088</v>
      </c>
      <c r="C89">
        <v>2499</v>
      </c>
      <c r="D89" t="s">
        <v>16</v>
      </c>
      <c r="E89" s="3">
        <v>6.2</v>
      </c>
      <c r="F89" s="3">
        <v>9.1999999999999993</v>
      </c>
      <c r="G89" s="3">
        <f t="shared" si="2"/>
        <v>2.9999999999999991</v>
      </c>
      <c r="H89" s="3">
        <f t="shared" si="3"/>
        <v>0.29999999999999993</v>
      </c>
      <c r="I89" t="s">
        <v>54</v>
      </c>
      <c r="J89" t="s">
        <v>55</v>
      </c>
      <c r="K89" t="s">
        <v>12</v>
      </c>
      <c r="L89" s="11" t="s">
        <v>11</v>
      </c>
    </row>
    <row r="90" spans="1:12" x14ac:dyDescent="0.35">
      <c r="A90" s="1" t="s">
        <v>34</v>
      </c>
      <c r="B90" s="2">
        <v>1089</v>
      </c>
      <c r="C90">
        <v>6119</v>
      </c>
      <c r="D90" t="s">
        <v>29</v>
      </c>
      <c r="E90" s="3">
        <v>9</v>
      </c>
      <c r="F90" s="3">
        <v>14</v>
      </c>
      <c r="G90" s="3">
        <f t="shared" si="2"/>
        <v>5</v>
      </c>
      <c r="H90" s="3">
        <f t="shared" si="3"/>
        <v>0.5</v>
      </c>
      <c r="I90" t="s">
        <v>58</v>
      </c>
      <c r="J90" t="s">
        <v>59</v>
      </c>
      <c r="K90" t="s">
        <v>27</v>
      </c>
      <c r="L90" s="11" t="s">
        <v>17</v>
      </c>
    </row>
    <row r="91" spans="1:12" x14ac:dyDescent="0.35">
      <c r="A91" s="1" t="s">
        <v>34</v>
      </c>
      <c r="B91" s="2">
        <v>1090</v>
      </c>
      <c r="C91">
        <v>2877</v>
      </c>
      <c r="D91" t="s">
        <v>13</v>
      </c>
      <c r="E91" s="3">
        <v>11.4</v>
      </c>
      <c r="F91" s="3">
        <v>16.3</v>
      </c>
      <c r="G91" s="3">
        <f t="shared" si="2"/>
        <v>4.9000000000000004</v>
      </c>
      <c r="H91" s="3">
        <f t="shared" si="3"/>
        <v>0.49000000000000005</v>
      </c>
      <c r="I91" t="s">
        <v>54</v>
      </c>
      <c r="J91" t="s">
        <v>55</v>
      </c>
      <c r="K91" t="s">
        <v>15</v>
      </c>
      <c r="L91" s="11" t="s">
        <v>11</v>
      </c>
    </row>
    <row r="92" spans="1:12" x14ac:dyDescent="0.35">
      <c r="A92" s="1" t="s">
        <v>34</v>
      </c>
      <c r="B92" s="2">
        <v>1091</v>
      </c>
      <c r="C92">
        <v>2877</v>
      </c>
      <c r="D92" t="s">
        <v>13</v>
      </c>
      <c r="E92" s="3">
        <v>11.4</v>
      </c>
      <c r="F92" s="3">
        <v>16.3</v>
      </c>
      <c r="G92" s="3">
        <f t="shared" si="2"/>
        <v>4.9000000000000004</v>
      </c>
      <c r="H92" s="3">
        <f t="shared" si="3"/>
        <v>0.49000000000000005</v>
      </c>
      <c r="I92" t="s">
        <v>60</v>
      </c>
      <c r="J92" t="s">
        <v>61</v>
      </c>
      <c r="K92" t="s">
        <v>27</v>
      </c>
      <c r="L92" s="11" t="s">
        <v>21</v>
      </c>
    </row>
    <row r="93" spans="1:12" x14ac:dyDescent="0.35">
      <c r="A93" s="1" t="s">
        <v>34</v>
      </c>
      <c r="B93" s="2">
        <v>1092</v>
      </c>
      <c r="C93">
        <v>2877</v>
      </c>
      <c r="D93" t="s">
        <v>13</v>
      </c>
      <c r="E93" s="3">
        <v>11.4</v>
      </c>
      <c r="F93" s="3">
        <v>16.3</v>
      </c>
      <c r="G93" s="3">
        <f t="shared" si="2"/>
        <v>4.9000000000000004</v>
      </c>
      <c r="H93" s="3">
        <f t="shared" si="3"/>
        <v>0.49000000000000005</v>
      </c>
      <c r="I93" t="s">
        <v>58</v>
      </c>
      <c r="J93" t="s">
        <v>59</v>
      </c>
      <c r="K93" t="s">
        <v>15</v>
      </c>
      <c r="L93" s="11" t="s">
        <v>17</v>
      </c>
    </row>
    <row r="94" spans="1:12" x14ac:dyDescent="0.35">
      <c r="A94" s="1" t="s">
        <v>34</v>
      </c>
      <c r="B94" s="2">
        <v>1093</v>
      </c>
      <c r="C94">
        <v>6119</v>
      </c>
      <c r="D94" t="s">
        <v>29</v>
      </c>
      <c r="E94" s="3">
        <v>9</v>
      </c>
      <c r="F94" s="3">
        <v>14</v>
      </c>
      <c r="G94" s="3">
        <f t="shared" si="2"/>
        <v>5</v>
      </c>
      <c r="H94" s="3">
        <f t="shared" si="3"/>
        <v>0.5</v>
      </c>
      <c r="I94" t="s">
        <v>56</v>
      </c>
      <c r="J94" t="s">
        <v>57</v>
      </c>
      <c r="K94" t="s">
        <v>18</v>
      </c>
      <c r="L94" s="11" t="s">
        <v>14</v>
      </c>
    </row>
    <row r="95" spans="1:12" x14ac:dyDescent="0.35">
      <c r="A95" s="1" t="s">
        <v>34</v>
      </c>
      <c r="B95" s="2">
        <v>1094</v>
      </c>
      <c r="C95">
        <v>6119</v>
      </c>
      <c r="D95" t="s">
        <v>29</v>
      </c>
      <c r="E95" s="3">
        <v>9</v>
      </c>
      <c r="F95" s="3">
        <v>14</v>
      </c>
      <c r="G95" s="3">
        <f t="shared" si="2"/>
        <v>5</v>
      </c>
      <c r="H95" s="3">
        <f t="shared" si="3"/>
        <v>0.5</v>
      </c>
      <c r="I95" t="s">
        <v>58</v>
      </c>
      <c r="J95" t="s">
        <v>59</v>
      </c>
      <c r="K95" t="s">
        <v>15</v>
      </c>
      <c r="L95" s="11" t="s">
        <v>17</v>
      </c>
    </row>
    <row r="96" spans="1:12" x14ac:dyDescent="0.35">
      <c r="A96" s="1" t="s">
        <v>34</v>
      </c>
      <c r="B96" s="2">
        <v>1095</v>
      </c>
      <c r="C96">
        <v>2499</v>
      </c>
      <c r="D96" t="s">
        <v>16</v>
      </c>
      <c r="E96" s="3">
        <v>6.2</v>
      </c>
      <c r="F96" s="3">
        <v>9.1999999999999993</v>
      </c>
      <c r="G96" s="3">
        <f t="shared" si="2"/>
        <v>2.9999999999999991</v>
      </c>
      <c r="H96" s="3">
        <f t="shared" si="3"/>
        <v>0.29999999999999993</v>
      </c>
      <c r="I96" t="s">
        <v>60</v>
      </c>
      <c r="J96" t="s">
        <v>61</v>
      </c>
      <c r="K96" t="s">
        <v>18</v>
      </c>
      <c r="L96" s="11" t="s">
        <v>21</v>
      </c>
    </row>
    <row r="97" spans="1:12" x14ac:dyDescent="0.35">
      <c r="A97" s="1" t="s">
        <v>34</v>
      </c>
      <c r="B97" s="2">
        <v>1096</v>
      </c>
      <c r="C97">
        <v>6119</v>
      </c>
      <c r="D97" t="s">
        <v>29</v>
      </c>
      <c r="E97" s="3">
        <v>9</v>
      </c>
      <c r="F97" s="3">
        <v>14</v>
      </c>
      <c r="G97" s="3">
        <f t="shared" si="2"/>
        <v>5</v>
      </c>
      <c r="H97" s="3">
        <f t="shared" si="3"/>
        <v>0.5</v>
      </c>
      <c r="I97" t="s">
        <v>58</v>
      </c>
      <c r="J97" t="s">
        <v>59</v>
      </c>
      <c r="K97" t="s">
        <v>18</v>
      </c>
      <c r="L97" s="11" t="s">
        <v>17</v>
      </c>
    </row>
    <row r="98" spans="1:12" x14ac:dyDescent="0.35">
      <c r="A98" s="1" t="s">
        <v>34</v>
      </c>
      <c r="B98" s="2">
        <v>1097</v>
      </c>
      <c r="C98">
        <v>9212</v>
      </c>
      <c r="D98" t="s">
        <v>24</v>
      </c>
      <c r="E98" s="3">
        <v>4</v>
      </c>
      <c r="F98" s="3">
        <v>7</v>
      </c>
      <c r="G98" s="3">
        <f t="shared" si="2"/>
        <v>3</v>
      </c>
      <c r="H98" s="3">
        <f t="shared" si="3"/>
        <v>0.30000000000000004</v>
      </c>
      <c r="I98" t="s">
        <v>60</v>
      </c>
      <c r="J98" t="s">
        <v>61</v>
      </c>
      <c r="K98" t="s">
        <v>27</v>
      </c>
      <c r="L98" s="11" t="s">
        <v>21</v>
      </c>
    </row>
    <row r="99" spans="1:12" x14ac:dyDescent="0.35">
      <c r="A99" s="1" t="s">
        <v>34</v>
      </c>
      <c r="B99" s="2">
        <v>1098</v>
      </c>
      <c r="C99">
        <v>2877</v>
      </c>
      <c r="D99" t="s">
        <v>13</v>
      </c>
      <c r="E99" s="3">
        <v>11.4</v>
      </c>
      <c r="F99" s="3">
        <v>16.3</v>
      </c>
      <c r="G99" s="3">
        <f t="shared" si="2"/>
        <v>4.9000000000000004</v>
      </c>
      <c r="H99" s="3">
        <f t="shared" si="3"/>
        <v>0.49000000000000005</v>
      </c>
      <c r="I99" t="s">
        <v>56</v>
      </c>
      <c r="J99" t="s">
        <v>57</v>
      </c>
      <c r="K99" t="s">
        <v>12</v>
      </c>
      <c r="L99" s="11" t="s">
        <v>14</v>
      </c>
    </row>
    <row r="100" spans="1:12" x14ac:dyDescent="0.35">
      <c r="A100" s="1" t="s">
        <v>35</v>
      </c>
      <c r="B100" s="2">
        <v>1099</v>
      </c>
      <c r="C100">
        <v>2877</v>
      </c>
      <c r="D100" t="s">
        <v>13</v>
      </c>
      <c r="E100" s="3">
        <v>11.4</v>
      </c>
      <c r="F100" s="3">
        <v>16.3</v>
      </c>
      <c r="G100" s="3">
        <f t="shared" si="2"/>
        <v>4.9000000000000004</v>
      </c>
      <c r="H100" s="3">
        <f t="shared" si="3"/>
        <v>0.49000000000000005</v>
      </c>
      <c r="I100" t="s">
        <v>58</v>
      </c>
      <c r="J100" t="s">
        <v>59</v>
      </c>
      <c r="K100" t="s">
        <v>15</v>
      </c>
      <c r="L100" s="11" t="s">
        <v>17</v>
      </c>
    </row>
    <row r="101" spans="1:12" x14ac:dyDescent="0.35">
      <c r="A101" s="1" t="s">
        <v>35</v>
      </c>
      <c r="B101" s="2">
        <v>1100</v>
      </c>
      <c r="C101">
        <v>6119</v>
      </c>
      <c r="D101" t="s">
        <v>29</v>
      </c>
      <c r="E101" s="3">
        <v>9</v>
      </c>
      <c r="F101" s="3">
        <v>14</v>
      </c>
      <c r="G101" s="3">
        <f t="shared" si="2"/>
        <v>5</v>
      </c>
      <c r="H101" s="3">
        <f t="shared" si="3"/>
        <v>0.5</v>
      </c>
      <c r="I101" t="s">
        <v>54</v>
      </c>
      <c r="J101" t="s">
        <v>55</v>
      </c>
      <c r="K101" t="s">
        <v>28</v>
      </c>
      <c r="L101" s="11" t="s">
        <v>11</v>
      </c>
    </row>
    <row r="102" spans="1:12" x14ac:dyDescent="0.35">
      <c r="A102" s="1" t="s">
        <v>35</v>
      </c>
      <c r="B102" s="2">
        <v>1101</v>
      </c>
      <c r="C102">
        <v>2499</v>
      </c>
      <c r="D102" t="s">
        <v>16</v>
      </c>
      <c r="E102" s="3">
        <v>6.2</v>
      </c>
      <c r="F102" s="3">
        <v>9.1999999999999993</v>
      </c>
      <c r="G102" s="3">
        <f t="shared" si="2"/>
        <v>2.9999999999999991</v>
      </c>
      <c r="H102" s="3">
        <f t="shared" si="3"/>
        <v>0.29999999999999993</v>
      </c>
      <c r="I102" t="s">
        <v>58</v>
      </c>
      <c r="J102" t="s">
        <v>59</v>
      </c>
      <c r="K102" t="s">
        <v>15</v>
      </c>
      <c r="L102" s="11" t="s">
        <v>17</v>
      </c>
    </row>
    <row r="103" spans="1:12" x14ac:dyDescent="0.35">
      <c r="A103" s="1" t="s">
        <v>35</v>
      </c>
      <c r="B103" s="2">
        <v>1102</v>
      </c>
      <c r="C103">
        <v>2242</v>
      </c>
      <c r="D103" t="s">
        <v>26</v>
      </c>
      <c r="E103" s="3">
        <v>60</v>
      </c>
      <c r="F103" s="3">
        <v>124</v>
      </c>
      <c r="G103" s="3">
        <f t="shared" si="2"/>
        <v>64</v>
      </c>
      <c r="H103" s="3">
        <f t="shared" si="3"/>
        <v>12.8</v>
      </c>
      <c r="I103" t="s">
        <v>56</v>
      </c>
      <c r="J103" t="s">
        <v>57</v>
      </c>
      <c r="K103" t="s">
        <v>27</v>
      </c>
      <c r="L103" s="11" t="s">
        <v>14</v>
      </c>
    </row>
    <row r="104" spans="1:12" x14ac:dyDescent="0.35">
      <c r="A104" s="1" t="s">
        <v>35</v>
      </c>
      <c r="B104" s="2">
        <v>1103</v>
      </c>
      <c r="C104">
        <v>2877</v>
      </c>
      <c r="D104" t="s">
        <v>13</v>
      </c>
      <c r="E104" s="3">
        <v>11.4</v>
      </c>
      <c r="F104" s="3">
        <v>16.3</v>
      </c>
      <c r="G104" s="3">
        <f t="shared" si="2"/>
        <v>4.9000000000000004</v>
      </c>
      <c r="H104" s="3">
        <f t="shared" si="3"/>
        <v>0.49000000000000005</v>
      </c>
      <c r="I104" t="s">
        <v>56</v>
      </c>
      <c r="J104" t="s">
        <v>57</v>
      </c>
      <c r="K104" t="s">
        <v>18</v>
      </c>
      <c r="L104" s="11" t="s">
        <v>14</v>
      </c>
    </row>
    <row r="105" spans="1:12" x14ac:dyDescent="0.35">
      <c r="A105" s="1" t="s">
        <v>35</v>
      </c>
      <c r="B105" s="2">
        <v>1104</v>
      </c>
      <c r="C105">
        <v>2877</v>
      </c>
      <c r="D105" t="s">
        <v>13</v>
      </c>
      <c r="E105" s="3">
        <v>11.4</v>
      </c>
      <c r="F105" s="3">
        <v>16.3</v>
      </c>
      <c r="G105" s="3">
        <f t="shared" si="2"/>
        <v>4.9000000000000004</v>
      </c>
      <c r="H105" s="3">
        <f t="shared" si="3"/>
        <v>0.49000000000000005</v>
      </c>
      <c r="I105" t="s">
        <v>58</v>
      </c>
      <c r="J105" t="s">
        <v>59</v>
      </c>
      <c r="K105" t="s">
        <v>27</v>
      </c>
      <c r="L105" s="11" t="s">
        <v>17</v>
      </c>
    </row>
    <row r="106" spans="1:12" x14ac:dyDescent="0.35">
      <c r="A106" s="1" t="s">
        <v>35</v>
      </c>
      <c r="B106" s="2">
        <v>1105</v>
      </c>
      <c r="C106">
        <v>2499</v>
      </c>
      <c r="D106" t="s">
        <v>16</v>
      </c>
      <c r="E106" s="3">
        <v>6.2</v>
      </c>
      <c r="F106" s="3">
        <v>9.1999999999999993</v>
      </c>
      <c r="G106" s="3">
        <f t="shared" si="2"/>
        <v>2.9999999999999991</v>
      </c>
      <c r="H106" s="3">
        <f t="shared" si="3"/>
        <v>0.29999999999999993</v>
      </c>
      <c r="I106" t="s">
        <v>56</v>
      </c>
      <c r="J106" t="s">
        <v>57</v>
      </c>
      <c r="K106" t="s">
        <v>18</v>
      </c>
      <c r="L106" s="11" t="s">
        <v>14</v>
      </c>
    </row>
    <row r="107" spans="1:12" x14ac:dyDescent="0.35">
      <c r="A107" s="1" t="s">
        <v>35</v>
      </c>
      <c r="B107" s="2">
        <v>1106</v>
      </c>
      <c r="C107">
        <v>9822</v>
      </c>
      <c r="D107" t="s">
        <v>10</v>
      </c>
      <c r="E107" s="3">
        <v>58.3</v>
      </c>
      <c r="F107" s="3">
        <v>98.4</v>
      </c>
      <c r="G107" s="3">
        <f t="shared" si="2"/>
        <v>40.100000000000009</v>
      </c>
      <c r="H107" s="3">
        <f t="shared" si="3"/>
        <v>8.0200000000000014</v>
      </c>
      <c r="I107" t="s">
        <v>56</v>
      </c>
      <c r="J107" t="s">
        <v>57</v>
      </c>
      <c r="K107" t="s">
        <v>15</v>
      </c>
      <c r="L107" s="11" t="s">
        <v>14</v>
      </c>
    </row>
    <row r="108" spans="1:12" x14ac:dyDescent="0.35">
      <c r="A108" s="1" t="s">
        <v>35</v>
      </c>
      <c r="B108" s="2">
        <v>1107</v>
      </c>
      <c r="C108">
        <v>1109</v>
      </c>
      <c r="D108" t="s">
        <v>20</v>
      </c>
      <c r="E108" s="3">
        <v>3</v>
      </c>
      <c r="F108" s="3">
        <v>8</v>
      </c>
      <c r="G108" s="3">
        <f t="shared" si="2"/>
        <v>5</v>
      </c>
      <c r="H108" s="3">
        <f t="shared" si="3"/>
        <v>0.5</v>
      </c>
      <c r="I108" t="s">
        <v>60</v>
      </c>
      <c r="J108" t="s">
        <v>61</v>
      </c>
      <c r="K108" t="s">
        <v>12</v>
      </c>
      <c r="L108" s="11" t="s">
        <v>21</v>
      </c>
    </row>
    <row r="109" spans="1:12" x14ac:dyDescent="0.35">
      <c r="A109" s="1" t="s">
        <v>35</v>
      </c>
      <c r="B109" s="2">
        <v>1108</v>
      </c>
      <c r="C109">
        <v>9822</v>
      </c>
      <c r="D109" t="s">
        <v>10</v>
      </c>
      <c r="E109" s="3">
        <v>58.3</v>
      </c>
      <c r="F109" s="3">
        <v>98.4</v>
      </c>
      <c r="G109" s="3">
        <f t="shared" si="2"/>
        <v>40.100000000000009</v>
      </c>
      <c r="H109" s="3">
        <f t="shared" si="3"/>
        <v>8.0200000000000014</v>
      </c>
      <c r="I109" t="s">
        <v>58</v>
      </c>
      <c r="J109" t="s">
        <v>59</v>
      </c>
      <c r="K109" t="s">
        <v>27</v>
      </c>
      <c r="L109" s="11" t="s">
        <v>17</v>
      </c>
    </row>
    <row r="110" spans="1:12" x14ac:dyDescent="0.35">
      <c r="A110" s="1" t="s">
        <v>35</v>
      </c>
      <c r="B110" s="2">
        <v>1109</v>
      </c>
      <c r="C110">
        <v>8722</v>
      </c>
      <c r="D110" t="s">
        <v>19</v>
      </c>
      <c r="E110" s="3">
        <v>344</v>
      </c>
      <c r="F110" s="3">
        <v>502</v>
      </c>
      <c r="G110" s="3">
        <f t="shared" si="2"/>
        <v>158</v>
      </c>
      <c r="H110" s="3">
        <f t="shared" si="3"/>
        <v>31.6</v>
      </c>
      <c r="I110" t="s">
        <v>56</v>
      </c>
      <c r="J110" t="s">
        <v>57</v>
      </c>
      <c r="K110" t="s">
        <v>15</v>
      </c>
      <c r="L110" s="11" t="s">
        <v>14</v>
      </c>
    </row>
    <row r="111" spans="1:12" x14ac:dyDescent="0.35">
      <c r="A111" s="1" t="s">
        <v>35</v>
      </c>
      <c r="B111" s="2">
        <v>1110</v>
      </c>
      <c r="C111">
        <v>8722</v>
      </c>
      <c r="D111" t="s">
        <v>19</v>
      </c>
      <c r="E111" s="3">
        <v>344</v>
      </c>
      <c r="F111" s="3">
        <v>502</v>
      </c>
      <c r="G111" s="3">
        <f t="shared" si="2"/>
        <v>158</v>
      </c>
      <c r="H111" s="3">
        <f t="shared" si="3"/>
        <v>31.6</v>
      </c>
      <c r="I111" t="s">
        <v>60</v>
      </c>
      <c r="J111" t="s">
        <v>61</v>
      </c>
      <c r="K111" t="s">
        <v>27</v>
      </c>
      <c r="L111" s="11" t="s">
        <v>21</v>
      </c>
    </row>
    <row r="112" spans="1:12" x14ac:dyDescent="0.35">
      <c r="A112" s="1" t="s">
        <v>35</v>
      </c>
      <c r="B112" s="2">
        <v>1111</v>
      </c>
      <c r="C112">
        <v>6622</v>
      </c>
      <c r="D112" t="s">
        <v>31</v>
      </c>
      <c r="E112" s="3">
        <v>42</v>
      </c>
      <c r="F112" s="3">
        <v>77</v>
      </c>
      <c r="G112" s="3">
        <f t="shared" si="2"/>
        <v>35</v>
      </c>
      <c r="H112" s="3">
        <f t="shared" si="3"/>
        <v>7</v>
      </c>
      <c r="I112" t="s">
        <v>60</v>
      </c>
      <c r="J112" t="s">
        <v>61</v>
      </c>
      <c r="K112" t="s">
        <v>15</v>
      </c>
      <c r="L112" s="11" t="s">
        <v>21</v>
      </c>
    </row>
    <row r="113" spans="1:12" x14ac:dyDescent="0.35">
      <c r="A113" s="1" t="s">
        <v>35</v>
      </c>
      <c r="B113" s="2">
        <v>1112</v>
      </c>
      <c r="C113">
        <v>6622</v>
      </c>
      <c r="D113" t="s">
        <v>31</v>
      </c>
      <c r="E113" s="3">
        <v>42</v>
      </c>
      <c r="F113" s="3">
        <v>77</v>
      </c>
      <c r="G113" s="3">
        <f t="shared" si="2"/>
        <v>35</v>
      </c>
      <c r="H113" s="3">
        <f t="shared" si="3"/>
        <v>7</v>
      </c>
      <c r="I113" t="s">
        <v>58</v>
      </c>
      <c r="J113" t="s">
        <v>59</v>
      </c>
      <c r="K113" t="s">
        <v>18</v>
      </c>
      <c r="L113" s="11" t="s">
        <v>17</v>
      </c>
    </row>
    <row r="114" spans="1:12" x14ac:dyDescent="0.35">
      <c r="A114" s="1" t="s">
        <v>35</v>
      </c>
      <c r="B114" s="2">
        <v>1113</v>
      </c>
      <c r="C114">
        <v>9822</v>
      </c>
      <c r="D114" t="s">
        <v>10</v>
      </c>
      <c r="E114" s="3">
        <v>58.3</v>
      </c>
      <c r="F114" s="3">
        <v>98.4</v>
      </c>
      <c r="G114" s="3">
        <f t="shared" si="2"/>
        <v>40.100000000000009</v>
      </c>
      <c r="H114" s="3">
        <f t="shared" si="3"/>
        <v>8.0200000000000014</v>
      </c>
      <c r="I114" t="s">
        <v>54</v>
      </c>
      <c r="J114" t="s">
        <v>55</v>
      </c>
      <c r="K114" t="s">
        <v>15</v>
      </c>
      <c r="L114" s="11" t="s">
        <v>11</v>
      </c>
    </row>
    <row r="115" spans="1:12" x14ac:dyDescent="0.35">
      <c r="A115" s="1" t="s">
        <v>35</v>
      </c>
      <c r="B115" s="2">
        <v>1114</v>
      </c>
      <c r="C115">
        <v>2242</v>
      </c>
      <c r="D115" t="s">
        <v>26</v>
      </c>
      <c r="E115" s="3">
        <v>60</v>
      </c>
      <c r="F115" s="3">
        <v>124</v>
      </c>
      <c r="G115" s="3">
        <f t="shared" si="2"/>
        <v>64</v>
      </c>
      <c r="H115" s="3">
        <f t="shared" si="3"/>
        <v>12.8</v>
      </c>
      <c r="I115" t="s">
        <v>56</v>
      </c>
      <c r="J115" t="s">
        <v>57</v>
      </c>
      <c r="K115" t="s">
        <v>18</v>
      </c>
      <c r="L115" s="11" t="s">
        <v>14</v>
      </c>
    </row>
    <row r="116" spans="1:12" x14ac:dyDescent="0.35">
      <c r="A116" s="1" t="s">
        <v>35</v>
      </c>
      <c r="B116" s="2">
        <v>1115</v>
      </c>
      <c r="C116">
        <v>8722</v>
      </c>
      <c r="D116" t="s">
        <v>19</v>
      </c>
      <c r="E116" s="3">
        <v>344</v>
      </c>
      <c r="F116" s="3">
        <v>502</v>
      </c>
      <c r="G116" s="3">
        <f t="shared" si="2"/>
        <v>158</v>
      </c>
      <c r="H116" s="3">
        <f t="shared" si="3"/>
        <v>31.6</v>
      </c>
      <c r="I116" t="s">
        <v>54</v>
      </c>
      <c r="J116" t="s">
        <v>55</v>
      </c>
      <c r="K116" t="s">
        <v>18</v>
      </c>
      <c r="L116" s="11" t="s">
        <v>11</v>
      </c>
    </row>
    <row r="117" spans="1:12" x14ac:dyDescent="0.35">
      <c r="A117" s="1" t="s">
        <v>35</v>
      </c>
      <c r="B117" s="2">
        <v>1116</v>
      </c>
      <c r="C117">
        <v>6622</v>
      </c>
      <c r="D117" t="s">
        <v>31</v>
      </c>
      <c r="E117" s="3">
        <v>42</v>
      </c>
      <c r="F117" s="3">
        <v>77</v>
      </c>
      <c r="G117" s="3">
        <f t="shared" si="2"/>
        <v>35</v>
      </c>
      <c r="H117" s="3">
        <f t="shared" si="3"/>
        <v>7</v>
      </c>
      <c r="I117" t="s">
        <v>58</v>
      </c>
      <c r="J117" t="s">
        <v>59</v>
      </c>
      <c r="K117" t="s">
        <v>27</v>
      </c>
      <c r="L117" s="11" t="s">
        <v>17</v>
      </c>
    </row>
    <row r="118" spans="1:12" x14ac:dyDescent="0.35">
      <c r="A118" s="1" t="s">
        <v>35</v>
      </c>
      <c r="B118" s="2">
        <v>1117</v>
      </c>
      <c r="C118">
        <v>8722</v>
      </c>
      <c r="D118" t="s">
        <v>19</v>
      </c>
      <c r="E118" s="3">
        <v>344</v>
      </c>
      <c r="F118" s="3">
        <v>502</v>
      </c>
      <c r="G118" s="3">
        <f t="shared" si="2"/>
        <v>158</v>
      </c>
      <c r="H118" s="3">
        <f t="shared" si="3"/>
        <v>31.6</v>
      </c>
      <c r="I118" t="s">
        <v>60</v>
      </c>
      <c r="J118" t="s">
        <v>61</v>
      </c>
      <c r="K118" t="s">
        <v>12</v>
      </c>
      <c r="L118" s="11" t="s">
        <v>21</v>
      </c>
    </row>
    <row r="119" spans="1:12" x14ac:dyDescent="0.35">
      <c r="A119" s="1" t="s">
        <v>35</v>
      </c>
      <c r="B119" s="2">
        <v>1118</v>
      </c>
      <c r="C119">
        <v>9822</v>
      </c>
      <c r="D119" t="s">
        <v>10</v>
      </c>
      <c r="E119" s="3">
        <v>58.3</v>
      </c>
      <c r="F119" s="3">
        <v>98.4</v>
      </c>
      <c r="G119" s="3">
        <f t="shared" si="2"/>
        <v>40.100000000000009</v>
      </c>
      <c r="H119" s="3">
        <f t="shared" si="3"/>
        <v>8.0200000000000014</v>
      </c>
      <c r="I119" t="s">
        <v>56</v>
      </c>
      <c r="J119" t="s">
        <v>57</v>
      </c>
      <c r="K119" t="s">
        <v>15</v>
      </c>
      <c r="L119" s="11" t="s">
        <v>14</v>
      </c>
    </row>
    <row r="120" spans="1:12" x14ac:dyDescent="0.35">
      <c r="A120" s="1" t="s">
        <v>35</v>
      </c>
      <c r="B120" s="2">
        <v>1119</v>
      </c>
      <c r="C120">
        <v>2242</v>
      </c>
      <c r="D120" t="s">
        <v>26</v>
      </c>
      <c r="E120" s="3">
        <v>60</v>
      </c>
      <c r="F120" s="3">
        <v>124</v>
      </c>
      <c r="G120" s="3">
        <f t="shared" si="2"/>
        <v>64</v>
      </c>
      <c r="H120" s="3">
        <f t="shared" si="3"/>
        <v>12.8</v>
      </c>
      <c r="I120" t="s">
        <v>54</v>
      </c>
      <c r="J120" t="s">
        <v>55</v>
      </c>
      <c r="K120" t="s">
        <v>28</v>
      </c>
      <c r="L120" s="11" t="s">
        <v>11</v>
      </c>
    </row>
    <row r="121" spans="1:12" x14ac:dyDescent="0.35">
      <c r="A121" s="1" t="s">
        <v>35</v>
      </c>
      <c r="B121" s="2">
        <v>1120</v>
      </c>
      <c r="C121">
        <v>2242</v>
      </c>
      <c r="D121" t="s">
        <v>26</v>
      </c>
      <c r="E121" s="3">
        <v>60</v>
      </c>
      <c r="F121" s="3">
        <v>124</v>
      </c>
      <c r="G121" s="3">
        <f t="shared" si="2"/>
        <v>64</v>
      </c>
      <c r="H121" s="3">
        <f t="shared" si="3"/>
        <v>12.8</v>
      </c>
      <c r="I121" t="s">
        <v>58</v>
      </c>
      <c r="J121" t="s">
        <v>59</v>
      </c>
      <c r="K121" t="s">
        <v>15</v>
      </c>
      <c r="L121" s="11" t="s">
        <v>17</v>
      </c>
    </row>
    <row r="122" spans="1:12" x14ac:dyDescent="0.35">
      <c r="A122" s="1" t="s">
        <v>35</v>
      </c>
      <c r="B122" s="2">
        <v>1121</v>
      </c>
      <c r="C122">
        <v>4421</v>
      </c>
      <c r="D122" t="s">
        <v>23</v>
      </c>
      <c r="E122" s="3">
        <v>45</v>
      </c>
      <c r="F122" s="3">
        <v>87</v>
      </c>
      <c r="G122" s="3">
        <f t="shared" si="2"/>
        <v>42</v>
      </c>
      <c r="H122" s="3">
        <f t="shared" si="3"/>
        <v>8.4</v>
      </c>
      <c r="I122" t="s">
        <v>58</v>
      </c>
      <c r="J122" t="s">
        <v>59</v>
      </c>
      <c r="K122" t="s">
        <v>27</v>
      </c>
      <c r="L122" s="11" t="s">
        <v>17</v>
      </c>
    </row>
    <row r="123" spans="1:12" x14ac:dyDescent="0.35">
      <c r="A123" s="1" t="s">
        <v>35</v>
      </c>
      <c r="B123" s="2">
        <v>1122</v>
      </c>
      <c r="C123">
        <v>8722</v>
      </c>
      <c r="D123" t="s">
        <v>19</v>
      </c>
      <c r="E123" s="3">
        <v>344</v>
      </c>
      <c r="F123" s="3">
        <v>502</v>
      </c>
      <c r="G123" s="3">
        <f t="shared" si="2"/>
        <v>158</v>
      </c>
      <c r="H123" s="3">
        <f t="shared" si="3"/>
        <v>31.6</v>
      </c>
      <c r="I123" t="s">
        <v>58</v>
      </c>
      <c r="J123" t="s">
        <v>59</v>
      </c>
      <c r="K123" t="s">
        <v>18</v>
      </c>
      <c r="L123" s="11" t="s">
        <v>17</v>
      </c>
    </row>
    <row r="124" spans="1:12" x14ac:dyDescent="0.35">
      <c r="A124" s="1" t="s">
        <v>35</v>
      </c>
      <c r="B124" s="2">
        <v>1123</v>
      </c>
      <c r="C124">
        <v>9822</v>
      </c>
      <c r="D124" t="s">
        <v>10</v>
      </c>
      <c r="E124" s="3">
        <v>58.3</v>
      </c>
      <c r="F124" s="3">
        <v>98.4</v>
      </c>
      <c r="G124" s="3">
        <f t="shared" si="2"/>
        <v>40.100000000000009</v>
      </c>
      <c r="H124" s="3">
        <f t="shared" si="3"/>
        <v>8.0200000000000014</v>
      </c>
      <c r="I124" t="s">
        <v>58</v>
      </c>
      <c r="J124" t="s">
        <v>59</v>
      </c>
      <c r="K124" t="s">
        <v>27</v>
      </c>
      <c r="L124" s="11" t="s">
        <v>17</v>
      </c>
    </row>
    <row r="125" spans="1:12" x14ac:dyDescent="0.35">
      <c r="A125" s="1" t="s">
        <v>35</v>
      </c>
      <c r="B125" s="2">
        <v>1124</v>
      </c>
      <c r="C125">
        <v>4421</v>
      </c>
      <c r="D125" t="s">
        <v>23</v>
      </c>
      <c r="E125" s="3">
        <v>45</v>
      </c>
      <c r="F125" s="3">
        <v>87</v>
      </c>
      <c r="G125" s="3">
        <f t="shared" si="2"/>
        <v>42</v>
      </c>
      <c r="H125" s="3">
        <f t="shared" si="3"/>
        <v>8.4</v>
      </c>
      <c r="I125" t="s">
        <v>58</v>
      </c>
      <c r="J125" t="s">
        <v>59</v>
      </c>
      <c r="K125" t="s">
        <v>18</v>
      </c>
      <c r="L125" s="11" t="s">
        <v>17</v>
      </c>
    </row>
    <row r="126" spans="1:12" x14ac:dyDescent="0.35">
      <c r="A126" s="1" t="s">
        <v>36</v>
      </c>
      <c r="B126" s="2">
        <v>1125</v>
      </c>
      <c r="C126">
        <v>2242</v>
      </c>
      <c r="D126" t="s">
        <v>26</v>
      </c>
      <c r="E126" s="3">
        <v>60</v>
      </c>
      <c r="F126" s="3">
        <v>124</v>
      </c>
      <c r="G126" s="3">
        <f t="shared" si="2"/>
        <v>64</v>
      </c>
      <c r="H126" s="3">
        <f t="shared" si="3"/>
        <v>12.8</v>
      </c>
      <c r="I126" t="s">
        <v>58</v>
      </c>
      <c r="J126" t="s">
        <v>59</v>
      </c>
      <c r="K126" t="s">
        <v>15</v>
      </c>
      <c r="L126" s="11" t="s">
        <v>17</v>
      </c>
    </row>
    <row r="127" spans="1:12" x14ac:dyDescent="0.35">
      <c r="A127" s="1" t="s">
        <v>36</v>
      </c>
      <c r="B127" s="2">
        <v>1126</v>
      </c>
      <c r="C127">
        <v>9212</v>
      </c>
      <c r="D127" t="s">
        <v>24</v>
      </c>
      <c r="E127" s="3">
        <v>4</v>
      </c>
      <c r="F127" s="3">
        <v>7</v>
      </c>
      <c r="G127" s="3">
        <f t="shared" si="2"/>
        <v>3</v>
      </c>
      <c r="H127" s="3">
        <f t="shared" si="3"/>
        <v>0.30000000000000004</v>
      </c>
      <c r="I127" t="s">
        <v>58</v>
      </c>
      <c r="J127" t="s">
        <v>59</v>
      </c>
      <c r="K127" t="s">
        <v>12</v>
      </c>
      <c r="L127" s="11" t="s">
        <v>17</v>
      </c>
    </row>
    <row r="128" spans="1:12" x14ac:dyDescent="0.35">
      <c r="A128" s="1" t="s">
        <v>36</v>
      </c>
      <c r="B128" s="2">
        <v>1127</v>
      </c>
      <c r="C128">
        <v>8722</v>
      </c>
      <c r="D128" t="s">
        <v>19</v>
      </c>
      <c r="E128" s="3">
        <v>344</v>
      </c>
      <c r="F128" s="3">
        <v>502</v>
      </c>
      <c r="G128" s="3">
        <f t="shared" si="2"/>
        <v>158</v>
      </c>
      <c r="H128" s="3">
        <f t="shared" si="3"/>
        <v>31.6</v>
      </c>
      <c r="I128" t="s">
        <v>54</v>
      </c>
      <c r="J128" t="s">
        <v>55</v>
      </c>
      <c r="K128" t="s">
        <v>27</v>
      </c>
      <c r="L128" s="11" t="s">
        <v>11</v>
      </c>
    </row>
    <row r="129" spans="1:12" x14ac:dyDescent="0.35">
      <c r="A129" s="1" t="s">
        <v>36</v>
      </c>
      <c r="B129" s="2">
        <v>1128</v>
      </c>
      <c r="C129">
        <v>6622</v>
      </c>
      <c r="D129" t="s">
        <v>31</v>
      </c>
      <c r="E129" s="3">
        <v>42</v>
      </c>
      <c r="F129" s="3">
        <v>77</v>
      </c>
      <c r="G129" s="3">
        <f t="shared" si="2"/>
        <v>35</v>
      </c>
      <c r="H129" s="3">
        <f t="shared" si="3"/>
        <v>7</v>
      </c>
      <c r="I129" t="s">
        <v>56</v>
      </c>
      <c r="J129" t="s">
        <v>57</v>
      </c>
      <c r="K129" t="s">
        <v>15</v>
      </c>
      <c r="L129" s="11" t="s">
        <v>14</v>
      </c>
    </row>
    <row r="130" spans="1:12" x14ac:dyDescent="0.35">
      <c r="A130" s="1" t="s">
        <v>36</v>
      </c>
      <c r="B130" s="2">
        <v>1129</v>
      </c>
      <c r="C130">
        <v>9822</v>
      </c>
      <c r="D130" t="s">
        <v>10</v>
      </c>
      <c r="E130" s="3">
        <v>58.3</v>
      </c>
      <c r="F130" s="3">
        <v>98.4</v>
      </c>
      <c r="G130" s="3">
        <f t="shared" si="2"/>
        <v>40.100000000000009</v>
      </c>
      <c r="H130" s="3">
        <f t="shared" si="3"/>
        <v>8.0200000000000014</v>
      </c>
      <c r="I130" t="s">
        <v>60</v>
      </c>
      <c r="J130" t="s">
        <v>61</v>
      </c>
      <c r="K130" t="s">
        <v>27</v>
      </c>
      <c r="L130" s="11" t="s">
        <v>21</v>
      </c>
    </row>
    <row r="131" spans="1:12" x14ac:dyDescent="0.35">
      <c r="A131" s="1" t="s">
        <v>36</v>
      </c>
      <c r="B131" s="2">
        <v>1130</v>
      </c>
      <c r="C131">
        <v>4421</v>
      </c>
      <c r="D131" t="s">
        <v>23</v>
      </c>
      <c r="E131" s="3">
        <v>45</v>
      </c>
      <c r="F131" s="3">
        <v>87</v>
      </c>
      <c r="G131" s="3">
        <f t="shared" ref="G131:G172" si="4">F131-E131</f>
        <v>42</v>
      </c>
      <c r="H131" s="3">
        <f t="shared" ref="H131:H172" si="5">IF(F131&gt;50,G131*0.2,G131*0.1)</f>
        <v>8.4</v>
      </c>
      <c r="I131" t="s">
        <v>60</v>
      </c>
      <c r="J131" t="s">
        <v>61</v>
      </c>
      <c r="K131" t="s">
        <v>15</v>
      </c>
      <c r="L131" s="11" t="s">
        <v>21</v>
      </c>
    </row>
    <row r="132" spans="1:12" x14ac:dyDescent="0.35">
      <c r="A132" s="1" t="s">
        <v>36</v>
      </c>
      <c r="B132" s="2">
        <v>1131</v>
      </c>
      <c r="C132">
        <v>9212</v>
      </c>
      <c r="D132" t="s">
        <v>24</v>
      </c>
      <c r="E132" s="3">
        <v>4</v>
      </c>
      <c r="F132" s="3">
        <v>7</v>
      </c>
      <c r="G132" s="3">
        <f t="shared" si="4"/>
        <v>3</v>
      </c>
      <c r="H132" s="3">
        <f t="shared" si="5"/>
        <v>0.30000000000000004</v>
      </c>
      <c r="I132" t="s">
        <v>60</v>
      </c>
      <c r="J132" t="s">
        <v>61</v>
      </c>
      <c r="K132" t="s">
        <v>18</v>
      </c>
      <c r="L132" s="11" t="s">
        <v>21</v>
      </c>
    </row>
    <row r="133" spans="1:12" x14ac:dyDescent="0.35">
      <c r="A133" s="1" t="s">
        <v>36</v>
      </c>
      <c r="B133" s="2">
        <v>1132</v>
      </c>
      <c r="C133">
        <v>9212</v>
      </c>
      <c r="D133" t="s">
        <v>24</v>
      </c>
      <c r="E133" s="3">
        <v>4</v>
      </c>
      <c r="F133" s="3">
        <v>7</v>
      </c>
      <c r="G133" s="3">
        <f t="shared" si="4"/>
        <v>3</v>
      </c>
      <c r="H133" s="3">
        <f t="shared" si="5"/>
        <v>0.30000000000000004</v>
      </c>
      <c r="I133" t="s">
        <v>60</v>
      </c>
      <c r="J133" t="s">
        <v>61</v>
      </c>
      <c r="K133" t="s">
        <v>15</v>
      </c>
      <c r="L133" s="11" t="s">
        <v>21</v>
      </c>
    </row>
    <row r="134" spans="1:12" x14ac:dyDescent="0.35">
      <c r="A134" s="1" t="s">
        <v>36</v>
      </c>
      <c r="B134" s="2">
        <v>1133</v>
      </c>
      <c r="C134">
        <v>9822</v>
      </c>
      <c r="D134" t="s">
        <v>10</v>
      </c>
      <c r="E134" s="3">
        <v>58.3</v>
      </c>
      <c r="F134" s="3">
        <v>98.4</v>
      </c>
      <c r="G134" s="3">
        <f t="shared" si="4"/>
        <v>40.100000000000009</v>
      </c>
      <c r="H134" s="3">
        <f t="shared" si="5"/>
        <v>8.0200000000000014</v>
      </c>
      <c r="I134" t="s">
        <v>54</v>
      </c>
      <c r="J134" t="s">
        <v>55</v>
      </c>
      <c r="K134" t="s">
        <v>18</v>
      </c>
      <c r="L134" s="11" t="s">
        <v>11</v>
      </c>
    </row>
    <row r="135" spans="1:12" x14ac:dyDescent="0.35">
      <c r="A135" s="1" t="s">
        <v>36</v>
      </c>
      <c r="B135" s="2">
        <v>1134</v>
      </c>
      <c r="C135">
        <v>9822</v>
      </c>
      <c r="D135" t="s">
        <v>10</v>
      </c>
      <c r="E135" s="3">
        <v>58.3</v>
      </c>
      <c r="F135" s="3">
        <v>98.4</v>
      </c>
      <c r="G135" s="3">
        <f t="shared" si="4"/>
        <v>40.100000000000009</v>
      </c>
      <c r="H135" s="3">
        <f t="shared" si="5"/>
        <v>8.0200000000000014</v>
      </c>
      <c r="I135" t="s">
        <v>58</v>
      </c>
      <c r="J135" t="s">
        <v>59</v>
      </c>
      <c r="K135" t="s">
        <v>18</v>
      </c>
      <c r="L135" s="11" t="s">
        <v>17</v>
      </c>
    </row>
    <row r="136" spans="1:12" x14ac:dyDescent="0.35">
      <c r="A136" s="1" t="s">
        <v>36</v>
      </c>
      <c r="B136" s="2">
        <v>1135</v>
      </c>
      <c r="C136">
        <v>8722</v>
      </c>
      <c r="D136" t="s">
        <v>19</v>
      </c>
      <c r="E136" s="3">
        <v>344</v>
      </c>
      <c r="F136" s="3">
        <v>502</v>
      </c>
      <c r="G136" s="3">
        <f t="shared" si="4"/>
        <v>158</v>
      </c>
      <c r="H136" s="3">
        <f t="shared" si="5"/>
        <v>31.6</v>
      </c>
      <c r="I136" t="s">
        <v>54</v>
      </c>
      <c r="J136" t="s">
        <v>55</v>
      </c>
      <c r="K136" t="s">
        <v>27</v>
      </c>
      <c r="L136" s="11" t="s">
        <v>11</v>
      </c>
    </row>
    <row r="137" spans="1:12" x14ac:dyDescent="0.35">
      <c r="A137" s="1" t="s">
        <v>36</v>
      </c>
      <c r="B137" s="2">
        <v>1136</v>
      </c>
      <c r="C137">
        <v>2242</v>
      </c>
      <c r="D137" t="s">
        <v>26</v>
      </c>
      <c r="E137" s="3">
        <v>60</v>
      </c>
      <c r="F137" s="3">
        <v>124</v>
      </c>
      <c r="G137" s="3">
        <f t="shared" si="4"/>
        <v>64</v>
      </c>
      <c r="H137" s="3">
        <f t="shared" si="5"/>
        <v>12.8</v>
      </c>
      <c r="I137" t="s">
        <v>58</v>
      </c>
      <c r="J137" t="s">
        <v>59</v>
      </c>
      <c r="K137" t="s">
        <v>12</v>
      </c>
      <c r="L137" s="11" t="s">
        <v>17</v>
      </c>
    </row>
    <row r="138" spans="1:12" x14ac:dyDescent="0.35">
      <c r="A138" s="1" t="s">
        <v>36</v>
      </c>
      <c r="B138" s="2">
        <v>1137</v>
      </c>
      <c r="C138">
        <v>9822</v>
      </c>
      <c r="D138" t="s">
        <v>10</v>
      </c>
      <c r="E138" s="3">
        <v>58.3</v>
      </c>
      <c r="F138" s="3">
        <v>98.4</v>
      </c>
      <c r="G138" s="3">
        <f t="shared" si="4"/>
        <v>40.100000000000009</v>
      </c>
      <c r="H138" s="3">
        <f t="shared" si="5"/>
        <v>8.0200000000000014</v>
      </c>
      <c r="I138" t="s">
        <v>56</v>
      </c>
      <c r="J138" t="s">
        <v>57</v>
      </c>
      <c r="K138" t="s">
        <v>15</v>
      </c>
      <c r="L138" s="11" t="s">
        <v>14</v>
      </c>
    </row>
    <row r="139" spans="1:12" x14ac:dyDescent="0.35">
      <c r="A139" s="1" t="s">
        <v>36</v>
      </c>
      <c r="B139" s="2">
        <v>1138</v>
      </c>
      <c r="C139">
        <v>8722</v>
      </c>
      <c r="D139" t="s">
        <v>19</v>
      </c>
      <c r="E139" s="3">
        <v>344</v>
      </c>
      <c r="F139" s="3">
        <v>502</v>
      </c>
      <c r="G139" s="3">
        <f t="shared" si="4"/>
        <v>158</v>
      </c>
      <c r="H139" s="3">
        <f t="shared" si="5"/>
        <v>31.6</v>
      </c>
      <c r="I139" t="s">
        <v>54</v>
      </c>
      <c r="J139" t="s">
        <v>55</v>
      </c>
      <c r="K139" t="s">
        <v>28</v>
      </c>
      <c r="L139" s="11" t="s">
        <v>11</v>
      </c>
    </row>
    <row r="140" spans="1:12" x14ac:dyDescent="0.35">
      <c r="A140" s="1" t="s">
        <v>36</v>
      </c>
      <c r="B140" s="2">
        <v>1139</v>
      </c>
      <c r="C140">
        <v>4421</v>
      </c>
      <c r="D140" t="s">
        <v>23</v>
      </c>
      <c r="E140" s="3">
        <v>45</v>
      </c>
      <c r="F140" s="3">
        <v>87</v>
      </c>
      <c r="G140" s="3">
        <f t="shared" si="4"/>
        <v>42</v>
      </c>
      <c r="H140" s="3">
        <f t="shared" si="5"/>
        <v>8.4</v>
      </c>
      <c r="I140" t="s">
        <v>58</v>
      </c>
      <c r="J140" t="s">
        <v>59</v>
      </c>
      <c r="K140" t="s">
        <v>15</v>
      </c>
      <c r="L140" s="11" t="s">
        <v>17</v>
      </c>
    </row>
    <row r="141" spans="1:12" x14ac:dyDescent="0.35">
      <c r="A141" s="1" t="s">
        <v>36</v>
      </c>
      <c r="B141" s="2">
        <v>1140</v>
      </c>
      <c r="C141">
        <v>4421</v>
      </c>
      <c r="D141" t="s">
        <v>23</v>
      </c>
      <c r="E141" s="3">
        <v>45</v>
      </c>
      <c r="F141" s="3">
        <v>87</v>
      </c>
      <c r="G141" s="3">
        <f t="shared" si="4"/>
        <v>42</v>
      </c>
      <c r="H141" s="3">
        <f t="shared" si="5"/>
        <v>8.4</v>
      </c>
      <c r="I141" t="s">
        <v>56</v>
      </c>
      <c r="J141" t="s">
        <v>57</v>
      </c>
      <c r="K141" t="s">
        <v>27</v>
      </c>
      <c r="L141" s="11" t="s">
        <v>14</v>
      </c>
    </row>
    <row r="142" spans="1:12" x14ac:dyDescent="0.35">
      <c r="A142" s="1" t="s">
        <v>36</v>
      </c>
      <c r="B142" s="2">
        <v>1141</v>
      </c>
      <c r="C142">
        <v>9212</v>
      </c>
      <c r="D142" t="s">
        <v>24</v>
      </c>
      <c r="E142" s="3">
        <v>4</v>
      </c>
      <c r="F142" s="3">
        <v>7</v>
      </c>
      <c r="G142" s="3">
        <f t="shared" si="4"/>
        <v>3</v>
      </c>
      <c r="H142" s="3">
        <f t="shared" si="5"/>
        <v>0.30000000000000004</v>
      </c>
      <c r="I142" t="s">
        <v>56</v>
      </c>
      <c r="J142" t="s">
        <v>57</v>
      </c>
      <c r="K142" t="s">
        <v>18</v>
      </c>
      <c r="L142" s="11" t="s">
        <v>14</v>
      </c>
    </row>
    <row r="143" spans="1:12" x14ac:dyDescent="0.35">
      <c r="A143" s="1" t="s">
        <v>37</v>
      </c>
      <c r="B143" s="2">
        <v>1142</v>
      </c>
      <c r="C143">
        <v>2242</v>
      </c>
      <c r="D143" t="s">
        <v>26</v>
      </c>
      <c r="E143" s="3">
        <v>60</v>
      </c>
      <c r="F143" s="3">
        <v>124</v>
      </c>
      <c r="G143" s="3">
        <f t="shared" si="4"/>
        <v>64</v>
      </c>
      <c r="H143" s="3">
        <f t="shared" si="5"/>
        <v>12.8</v>
      </c>
      <c r="I143" t="s">
        <v>56</v>
      </c>
      <c r="J143" t="s">
        <v>57</v>
      </c>
      <c r="K143" t="s">
        <v>27</v>
      </c>
      <c r="L143" s="11" t="s">
        <v>14</v>
      </c>
    </row>
    <row r="144" spans="1:12" x14ac:dyDescent="0.35">
      <c r="A144" s="1" t="s">
        <v>37</v>
      </c>
      <c r="B144" s="2">
        <v>1143</v>
      </c>
      <c r="C144">
        <v>9822</v>
      </c>
      <c r="D144" t="s">
        <v>10</v>
      </c>
      <c r="E144" s="3">
        <v>58.3</v>
      </c>
      <c r="F144" s="3">
        <v>98.4</v>
      </c>
      <c r="G144" s="3">
        <f t="shared" si="4"/>
        <v>40.100000000000009</v>
      </c>
      <c r="H144" s="3">
        <f t="shared" si="5"/>
        <v>8.0200000000000014</v>
      </c>
      <c r="I144" t="s">
        <v>60</v>
      </c>
      <c r="J144" t="s">
        <v>61</v>
      </c>
      <c r="K144" t="s">
        <v>18</v>
      </c>
      <c r="L144" s="11" t="s">
        <v>21</v>
      </c>
    </row>
    <row r="145" spans="1:12" x14ac:dyDescent="0.35">
      <c r="A145" s="1" t="s">
        <v>37</v>
      </c>
      <c r="B145" s="2">
        <v>1144</v>
      </c>
      <c r="C145">
        <v>2242</v>
      </c>
      <c r="D145" t="s">
        <v>26</v>
      </c>
      <c r="E145" s="3">
        <v>60</v>
      </c>
      <c r="F145" s="3">
        <v>124</v>
      </c>
      <c r="G145" s="3">
        <f t="shared" si="4"/>
        <v>64</v>
      </c>
      <c r="H145" s="3">
        <f t="shared" si="5"/>
        <v>12.8</v>
      </c>
      <c r="I145" t="s">
        <v>60</v>
      </c>
      <c r="J145" t="s">
        <v>61</v>
      </c>
      <c r="K145" t="s">
        <v>15</v>
      </c>
      <c r="L145" s="11" t="s">
        <v>21</v>
      </c>
    </row>
    <row r="146" spans="1:12" x14ac:dyDescent="0.35">
      <c r="A146" s="1" t="s">
        <v>37</v>
      </c>
      <c r="B146" s="2">
        <v>1145</v>
      </c>
      <c r="C146">
        <v>4421</v>
      </c>
      <c r="D146" t="s">
        <v>23</v>
      </c>
      <c r="E146" s="3">
        <v>45</v>
      </c>
      <c r="F146" s="3">
        <v>87</v>
      </c>
      <c r="G146" s="3">
        <f t="shared" si="4"/>
        <v>42</v>
      </c>
      <c r="H146" s="3">
        <f t="shared" si="5"/>
        <v>8.4</v>
      </c>
      <c r="I146" t="s">
        <v>60</v>
      </c>
      <c r="J146" t="s">
        <v>61</v>
      </c>
      <c r="K146" t="s">
        <v>12</v>
      </c>
      <c r="L146" s="11" t="s">
        <v>21</v>
      </c>
    </row>
    <row r="147" spans="1:12" x14ac:dyDescent="0.35">
      <c r="A147" s="1" t="s">
        <v>37</v>
      </c>
      <c r="B147" s="2">
        <v>1146</v>
      </c>
      <c r="C147">
        <v>8722</v>
      </c>
      <c r="D147" t="s">
        <v>19</v>
      </c>
      <c r="E147" s="3">
        <v>344</v>
      </c>
      <c r="F147" s="3">
        <v>502</v>
      </c>
      <c r="G147" s="3">
        <f t="shared" si="4"/>
        <v>158</v>
      </c>
      <c r="H147" s="3">
        <f t="shared" si="5"/>
        <v>31.6</v>
      </c>
      <c r="I147" t="s">
        <v>60</v>
      </c>
      <c r="J147" t="s">
        <v>61</v>
      </c>
      <c r="K147" t="s">
        <v>27</v>
      </c>
      <c r="L147" s="11" t="s">
        <v>21</v>
      </c>
    </row>
    <row r="148" spans="1:12" x14ac:dyDescent="0.35">
      <c r="A148" s="1" t="s">
        <v>37</v>
      </c>
      <c r="B148" s="2">
        <v>1147</v>
      </c>
      <c r="C148">
        <v>9822</v>
      </c>
      <c r="D148" t="s">
        <v>10</v>
      </c>
      <c r="E148" s="3">
        <v>58.3</v>
      </c>
      <c r="F148" s="3">
        <v>98.4</v>
      </c>
      <c r="G148" s="3">
        <f t="shared" si="4"/>
        <v>40.100000000000009</v>
      </c>
      <c r="H148" s="3">
        <f t="shared" si="5"/>
        <v>8.0200000000000014</v>
      </c>
      <c r="I148" t="s">
        <v>54</v>
      </c>
      <c r="J148" t="s">
        <v>55</v>
      </c>
      <c r="K148" t="s">
        <v>15</v>
      </c>
      <c r="L148" s="11" t="s">
        <v>11</v>
      </c>
    </row>
    <row r="149" spans="1:12" x14ac:dyDescent="0.35">
      <c r="A149" s="1" t="s">
        <v>37</v>
      </c>
      <c r="B149" s="2">
        <v>1148</v>
      </c>
      <c r="C149">
        <v>9212</v>
      </c>
      <c r="D149" t="s">
        <v>24</v>
      </c>
      <c r="E149" s="3">
        <v>4</v>
      </c>
      <c r="F149" s="3">
        <v>7</v>
      </c>
      <c r="G149" s="3">
        <f t="shared" si="4"/>
        <v>3</v>
      </c>
      <c r="H149" s="3">
        <f t="shared" si="5"/>
        <v>0.30000000000000004</v>
      </c>
      <c r="I149" t="s">
        <v>58</v>
      </c>
      <c r="J149" t="s">
        <v>59</v>
      </c>
      <c r="K149" t="s">
        <v>18</v>
      </c>
      <c r="L149" s="11" t="s">
        <v>17</v>
      </c>
    </row>
    <row r="150" spans="1:12" x14ac:dyDescent="0.35">
      <c r="A150" s="1" t="s">
        <v>37</v>
      </c>
      <c r="B150" s="2">
        <v>1149</v>
      </c>
      <c r="C150">
        <v>8722</v>
      </c>
      <c r="D150" t="s">
        <v>19</v>
      </c>
      <c r="E150" s="3">
        <v>344</v>
      </c>
      <c r="F150" s="3">
        <v>502</v>
      </c>
      <c r="G150" s="3">
        <f t="shared" si="4"/>
        <v>158</v>
      </c>
      <c r="H150" s="3">
        <f t="shared" si="5"/>
        <v>31.6</v>
      </c>
      <c r="I150" t="s">
        <v>54</v>
      </c>
      <c r="J150" t="s">
        <v>55</v>
      </c>
      <c r="K150" t="s">
        <v>18</v>
      </c>
      <c r="L150" s="11" t="s">
        <v>11</v>
      </c>
    </row>
    <row r="151" spans="1:12" x14ac:dyDescent="0.35">
      <c r="A151" s="1" t="s">
        <v>38</v>
      </c>
      <c r="B151" s="2">
        <v>1150</v>
      </c>
      <c r="C151">
        <v>2242</v>
      </c>
      <c r="D151" t="s">
        <v>26</v>
      </c>
      <c r="E151" s="3">
        <v>60</v>
      </c>
      <c r="F151" s="3">
        <v>124</v>
      </c>
      <c r="G151" s="3">
        <f t="shared" si="4"/>
        <v>64</v>
      </c>
      <c r="H151" s="3">
        <f t="shared" si="5"/>
        <v>12.8</v>
      </c>
      <c r="I151" t="s">
        <v>58</v>
      </c>
      <c r="J151" t="s">
        <v>59</v>
      </c>
      <c r="K151" t="s">
        <v>28</v>
      </c>
      <c r="L151" s="11" t="s">
        <v>17</v>
      </c>
    </row>
    <row r="152" spans="1:12" x14ac:dyDescent="0.35">
      <c r="A152" s="1" t="s">
        <v>38</v>
      </c>
      <c r="B152" s="2">
        <v>1151</v>
      </c>
      <c r="C152">
        <v>2242</v>
      </c>
      <c r="D152" t="s">
        <v>26</v>
      </c>
      <c r="E152" s="3">
        <v>60</v>
      </c>
      <c r="F152" s="3">
        <v>124</v>
      </c>
      <c r="G152" s="3">
        <f t="shared" si="4"/>
        <v>64</v>
      </c>
      <c r="H152" s="3">
        <f t="shared" si="5"/>
        <v>12.8</v>
      </c>
      <c r="I152" t="s">
        <v>56</v>
      </c>
      <c r="J152" t="s">
        <v>57</v>
      </c>
      <c r="K152" t="s">
        <v>15</v>
      </c>
      <c r="L152" s="11" t="s">
        <v>14</v>
      </c>
    </row>
    <row r="153" spans="1:12" x14ac:dyDescent="0.35">
      <c r="A153" s="1" t="s">
        <v>38</v>
      </c>
      <c r="B153" s="2">
        <v>1152</v>
      </c>
      <c r="C153">
        <v>4421</v>
      </c>
      <c r="D153" t="s">
        <v>23</v>
      </c>
      <c r="E153" s="3">
        <v>45</v>
      </c>
      <c r="F153" s="3">
        <v>87</v>
      </c>
      <c r="G153" s="3">
        <f t="shared" si="4"/>
        <v>42</v>
      </c>
      <c r="H153" s="3">
        <f t="shared" si="5"/>
        <v>8.4</v>
      </c>
      <c r="I153" t="s">
        <v>54</v>
      </c>
      <c r="J153" t="s">
        <v>55</v>
      </c>
      <c r="K153" t="s">
        <v>27</v>
      </c>
      <c r="L153" s="11" t="s">
        <v>11</v>
      </c>
    </row>
    <row r="154" spans="1:12" x14ac:dyDescent="0.35">
      <c r="A154" s="1" t="s">
        <v>38</v>
      </c>
      <c r="B154" s="2">
        <v>1153</v>
      </c>
      <c r="C154">
        <v>8722</v>
      </c>
      <c r="D154" t="s">
        <v>19</v>
      </c>
      <c r="E154" s="3">
        <v>344</v>
      </c>
      <c r="F154" s="3">
        <v>502</v>
      </c>
      <c r="G154" s="3">
        <f t="shared" si="4"/>
        <v>158</v>
      </c>
      <c r="H154" s="3">
        <f t="shared" si="5"/>
        <v>31.6</v>
      </c>
      <c r="I154" t="s">
        <v>58</v>
      </c>
      <c r="J154" t="s">
        <v>59</v>
      </c>
      <c r="K154" t="s">
        <v>18</v>
      </c>
      <c r="L154" s="11" t="s">
        <v>17</v>
      </c>
    </row>
    <row r="155" spans="1:12" x14ac:dyDescent="0.35">
      <c r="A155" s="1" t="s">
        <v>38</v>
      </c>
      <c r="B155" s="2">
        <v>1154</v>
      </c>
      <c r="C155">
        <v>9822</v>
      </c>
      <c r="D155" t="s">
        <v>10</v>
      </c>
      <c r="E155" s="3">
        <v>58.3</v>
      </c>
      <c r="F155" s="3">
        <v>98.4</v>
      </c>
      <c r="G155" s="3">
        <f t="shared" si="4"/>
        <v>40.100000000000009</v>
      </c>
      <c r="H155" s="3">
        <f t="shared" si="5"/>
        <v>8.0200000000000014</v>
      </c>
      <c r="I155" t="s">
        <v>56</v>
      </c>
      <c r="J155" t="s">
        <v>57</v>
      </c>
      <c r="K155" t="s">
        <v>27</v>
      </c>
      <c r="L155" s="11" t="s">
        <v>14</v>
      </c>
    </row>
    <row r="156" spans="1:12" x14ac:dyDescent="0.35">
      <c r="A156" s="1" t="s">
        <v>38</v>
      </c>
      <c r="B156" s="2">
        <v>1155</v>
      </c>
      <c r="C156">
        <v>4421</v>
      </c>
      <c r="D156" t="s">
        <v>23</v>
      </c>
      <c r="E156" s="3">
        <v>45</v>
      </c>
      <c r="F156" s="3">
        <v>87</v>
      </c>
      <c r="G156" s="3">
        <f t="shared" si="4"/>
        <v>42</v>
      </c>
      <c r="H156" s="3">
        <f t="shared" si="5"/>
        <v>8.4</v>
      </c>
      <c r="I156" t="s">
        <v>58</v>
      </c>
      <c r="J156" t="s">
        <v>59</v>
      </c>
      <c r="K156" t="s">
        <v>18</v>
      </c>
      <c r="L156" s="11" t="s">
        <v>17</v>
      </c>
    </row>
    <row r="157" spans="1:12" x14ac:dyDescent="0.35">
      <c r="A157" s="1" t="s">
        <v>38</v>
      </c>
      <c r="B157" s="2">
        <v>1156</v>
      </c>
      <c r="C157">
        <v>2242</v>
      </c>
      <c r="D157" t="s">
        <v>26</v>
      </c>
      <c r="E157" s="3">
        <v>60</v>
      </c>
      <c r="F157" s="3">
        <v>124</v>
      </c>
      <c r="G157" s="3">
        <f t="shared" si="4"/>
        <v>64</v>
      </c>
      <c r="H157" s="3">
        <f t="shared" si="5"/>
        <v>12.8</v>
      </c>
      <c r="I157" t="s">
        <v>58</v>
      </c>
      <c r="J157" t="s">
        <v>59</v>
      </c>
      <c r="K157" t="s">
        <v>15</v>
      </c>
      <c r="L157" s="11" t="s">
        <v>17</v>
      </c>
    </row>
    <row r="158" spans="1:12" x14ac:dyDescent="0.35">
      <c r="A158" s="1" t="s">
        <v>38</v>
      </c>
      <c r="B158" s="2">
        <v>1157</v>
      </c>
      <c r="C158">
        <v>9212</v>
      </c>
      <c r="D158" t="s">
        <v>24</v>
      </c>
      <c r="E158" s="3">
        <v>4</v>
      </c>
      <c r="F158" s="3">
        <v>7</v>
      </c>
      <c r="G158" s="3">
        <f t="shared" si="4"/>
        <v>3</v>
      </c>
      <c r="H158" s="3">
        <f t="shared" si="5"/>
        <v>0.30000000000000004</v>
      </c>
      <c r="I158" t="s">
        <v>58</v>
      </c>
      <c r="J158" t="s">
        <v>59</v>
      </c>
      <c r="K158" t="s">
        <v>12</v>
      </c>
      <c r="L158" s="11" t="s">
        <v>17</v>
      </c>
    </row>
    <row r="159" spans="1:12" x14ac:dyDescent="0.35">
      <c r="A159" s="1" t="s">
        <v>39</v>
      </c>
      <c r="B159" s="2">
        <v>1158</v>
      </c>
      <c r="C159">
        <v>8722</v>
      </c>
      <c r="D159" t="s">
        <v>19</v>
      </c>
      <c r="E159" s="3">
        <v>344</v>
      </c>
      <c r="F159" s="3">
        <v>502</v>
      </c>
      <c r="G159" s="3">
        <f t="shared" si="4"/>
        <v>158</v>
      </c>
      <c r="H159" s="3">
        <f t="shared" si="5"/>
        <v>31.6</v>
      </c>
      <c r="I159" t="s">
        <v>54</v>
      </c>
      <c r="J159" t="s">
        <v>55</v>
      </c>
      <c r="K159" t="s">
        <v>27</v>
      </c>
      <c r="L159" s="11" t="s">
        <v>11</v>
      </c>
    </row>
    <row r="160" spans="1:12" x14ac:dyDescent="0.35">
      <c r="A160" s="1" t="s">
        <v>39</v>
      </c>
      <c r="B160" s="2">
        <v>1159</v>
      </c>
      <c r="C160">
        <v>6622</v>
      </c>
      <c r="D160" t="s">
        <v>31</v>
      </c>
      <c r="E160" s="3">
        <v>42</v>
      </c>
      <c r="F160" s="3">
        <v>77</v>
      </c>
      <c r="G160" s="3">
        <f t="shared" si="4"/>
        <v>35</v>
      </c>
      <c r="H160" s="3">
        <f t="shared" si="5"/>
        <v>7</v>
      </c>
      <c r="I160" t="s">
        <v>58</v>
      </c>
      <c r="J160" t="s">
        <v>59</v>
      </c>
      <c r="K160" t="s">
        <v>15</v>
      </c>
      <c r="L160" s="11" t="s">
        <v>17</v>
      </c>
    </row>
    <row r="161" spans="1:12" x14ac:dyDescent="0.35">
      <c r="A161" s="1" t="s">
        <v>39</v>
      </c>
      <c r="B161" s="2">
        <v>1160</v>
      </c>
      <c r="C161">
        <v>9822</v>
      </c>
      <c r="D161" t="s">
        <v>10</v>
      </c>
      <c r="E161" s="3">
        <v>58.3</v>
      </c>
      <c r="F161" s="3">
        <v>98.4</v>
      </c>
      <c r="G161" s="3">
        <f t="shared" si="4"/>
        <v>40.100000000000009</v>
      </c>
      <c r="H161" s="3">
        <f t="shared" si="5"/>
        <v>8.0200000000000014</v>
      </c>
      <c r="I161" t="s">
        <v>60</v>
      </c>
      <c r="J161" t="s">
        <v>61</v>
      </c>
      <c r="K161" t="s">
        <v>27</v>
      </c>
      <c r="L161" s="11" t="s">
        <v>21</v>
      </c>
    </row>
    <row r="162" spans="1:12" x14ac:dyDescent="0.35">
      <c r="A162" s="1" t="s">
        <v>39</v>
      </c>
      <c r="B162" s="2">
        <v>1161</v>
      </c>
      <c r="C162">
        <v>4421</v>
      </c>
      <c r="D162" t="s">
        <v>23</v>
      </c>
      <c r="E162" s="3">
        <v>45</v>
      </c>
      <c r="F162" s="3">
        <v>87</v>
      </c>
      <c r="G162" s="3">
        <f t="shared" si="4"/>
        <v>42</v>
      </c>
      <c r="H162" s="3">
        <f t="shared" si="5"/>
        <v>8.4</v>
      </c>
      <c r="I162" t="s">
        <v>56</v>
      </c>
      <c r="J162" t="s">
        <v>57</v>
      </c>
      <c r="K162" t="s">
        <v>15</v>
      </c>
      <c r="L162" s="11" t="s">
        <v>14</v>
      </c>
    </row>
    <row r="163" spans="1:12" x14ac:dyDescent="0.35">
      <c r="A163" s="1" t="s">
        <v>39</v>
      </c>
      <c r="B163" s="2">
        <v>1162</v>
      </c>
      <c r="C163">
        <v>9212</v>
      </c>
      <c r="D163" t="s">
        <v>24</v>
      </c>
      <c r="E163" s="3">
        <v>4</v>
      </c>
      <c r="F163" s="3">
        <v>7</v>
      </c>
      <c r="G163" s="3">
        <f t="shared" si="4"/>
        <v>3</v>
      </c>
      <c r="H163" s="3">
        <f t="shared" si="5"/>
        <v>0.30000000000000004</v>
      </c>
      <c r="I163" t="s">
        <v>54</v>
      </c>
      <c r="J163" t="s">
        <v>55</v>
      </c>
      <c r="K163" t="s">
        <v>18</v>
      </c>
      <c r="L163" s="11" t="s">
        <v>11</v>
      </c>
    </row>
    <row r="164" spans="1:12" x14ac:dyDescent="0.35">
      <c r="A164" s="1" t="s">
        <v>39</v>
      </c>
      <c r="B164" s="2">
        <v>1163</v>
      </c>
      <c r="C164">
        <v>9212</v>
      </c>
      <c r="D164" t="s">
        <v>24</v>
      </c>
      <c r="E164" s="3">
        <v>4</v>
      </c>
      <c r="F164" s="3">
        <v>7</v>
      </c>
      <c r="G164" s="3">
        <f t="shared" si="4"/>
        <v>3</v>
      </c>
      <c r="H164" s="3">
        <f t="shared" si="5"/>
        <v>0.30000000000000004</v>
      </c>
      <c r="I164" t="s">
        <v>58</v>
      </c>
      <c r="J164" t="s">
        <v>59</v>
      </c>
      <c r="K164" t="s">
        <v>15</v>
      </c>
      <c r="L164" s="11" t="s">
        <v>17</v>
      </c>
    </row>
    <row r="165" spans="1:12" x14ac:dyDescent="0.35">
      <c r="A165" s="1" t="s">
        <v>39</v>
      </c>
      <c r="B165" s="2">
        <v>1164</v>
      </c>
      <c r="C165">
        <v>9822</v>
      </c>
      <c r="D165" t="s">
        <v>10</v>
      </c>
      <c r="E165" s="3">
        <v>58.3</v>
      </c>
      <c r="F165" s="3">
        <v>98.4</v>
      </c>
      <c r="G165" s="3">
        <f t="shared" si="4"/>
        <v>40.100000000000009</v>
      </c>
      <c r="H165" s="3">
        <f t="shared" si="5"/>
        <v>8.0200000000000014</v>
      </c>
      <c r="I165" t="s">
        <v>58</v>
      </c>
      <c r="J165" t="s">
        <v>59</v>
      </c>
      <c r="K165" t="s">
        <v>18</v>
      </c>
      <c r="L165" s="11" t="s">
        <v>17</v>
      </c>
    </row>
    <row r="166" spans="1:12" x14ac:dyDescent="0.35">
      <c r="A166" s="1" t="s">
        <v>39</v>
      </c>
      <c r="B166" s="2">
        <v>1165</v>
      </c>
      <c r="C166">
        <v>9822</v>
      </c>
      <c r="D166" t="s">
        <v>10</v>
      </c>
      <c r="E166" s="3">
        <v>58.3</v>
      </c>
      <c r="F166" s="3">
        <v>98.4</v>
      </c>
      <c r="G166" s="3">
        <f t="shared" si="4"/>
        <v>40.100000000000009</v>
      </c>
      <c r="H166" s="3">
        <f t="shared" si="5"/>
        <v>8.0200000000000014</v>
      </c>
      <c r="I166" t="s">
        <v>58</v>
      </c>
      <c r="J166" t="s">
        <v>59</v>
      </c>
      <c r="K166" t="s">
        <v>18</v>
      </c>
      <c r="L166" s="11" t="s">
        <v>17</v>
      </c>
    </row>
    <row r="167" spans="1:12" x14ac:dyDescent="0.35">
      <c r="A167" s="1" t="s">
        <v>39</v>
      </c>
      <c r="B167" s="2">
        <v>1166</v>
      </c>
      <c r="C167">
        <v>8722</v>
      </c>
      <c r="D167" t="s">
        <v>19</v>
      </c>
      <c r="E167" s="3">
        <v>344</v>
      </c>
      <c r="F167" s="3">
        <v>502</v>
      </c>
      <c r="G167" s="3">
        <f t="shared" si="4"/>
        <v>158</v>
      </c>
      <c r="H167" s="3">
        <f t="shared" si="5"/>
        <v>31.6</v>
      </c>
      <c r="I167" t="s">
        <v>58</v>
      </c>
      <c r="J167" t="s">
        <v>59</v>
      </c>
      <c r="K167" t="s">
        <v>27</v>
      </c>
      <c r="L167" s="11" t="s">
        <v>17</v>
      </c>
    </row>
    <row r="168" spans="1:12" x14ac:dyDescent="0.35">
      <c r="A168" s="1" t="s">
        <v>40</v>
      </c>
      <c r="B168" s="2">
        <v>1167</v>
      </c>
      <c r="C168">
        <v>2242</v>
      </c>
      <c r="D168" t="s">
        <v>26</v>
      </c>
      <c r="E168" s="3">
        <v>60</v>
      </c>
      <c r="F168" s="3">
        <v>124</v>
      </c>
      <c r="G168" s="3">
        <f t="shared" si="4"/>
        <v>64</v>
      </c>
      <c r="H168" s="3">
        <f t="shared" si="5"/>
        <v>12.8</v>
      </c>
      <c r="I168" t="s">
        <v>58</v>
      </c>
      <c r="J168" t="s">
        <v>59</v>
      </c>
      <c r="K168" t="s">
        <v>12</v>
      </c>
      <c r="L168" s="11" t="s">
        <v>17</v>
      </c>
    </row>
    <row r="169" spans="1:12" x14ac:dyDescent="0.35">
      <c r="A169" s="1" t="s">
        <v>40</v>
      </c>
      <c r="B169" s="2">
        <v>1168</v>
      </c>
      <c r="C169">
        <v>9822</v>
      </c>
      <c r="D169" t="s">
        <v>10</v>
      </c>
      <c r="E169" s="3">
        <v>58.3</v>
      </c>
      <c r="F169" s="3">
        <v>98.4</v>
      </c>
      <c r="G169" s="3">
        <f t="shared" si="4"/>
        <v>40.100000000000009</v>
      </c>
      <c r="H169" s="3">
        <f t="shared" si="5"/>
        <v>8.0200000000000014</v>
      </c>
      <c r="I169" t="s">
        <v>58</v>
      </c>
      <c r="J169" t="s">
        <v>59</v>
      </c>
      <c r="K169" t="s">
        <v>15</v>
      </c>
      <c r="L169" s="11" t="s">
        <v>17</v>
      </c>
    </row>
    <row r="170" spans="1:12" x14ac:dyDescent="0.35">
      <c r="A170" s="1" t="s">
        <v>40</v>
      </c>
      <c r="B170" s="2">
        <v>1169</v>
      </c>
      <c r="C170">
        <v>8722</v>
      </c>
      <c r="D170" t="s">
        <v>19</v>
      </c>
      <c r="E170" s="3">
        <v>344</v>
      </c>
      <c r="F170" s="3">
        <v>502</v>
      </c>
      <c r="G170" s="3">
        <f t="shared" si="4"/>
        <v>158</v>
      </c>
      <c r="H170" s="3">
        <f t="shared" si="5"/>
        <v>31.6</v>
      </c>
      <c r="I170" t="s">
        <v>58</v>
      </c>
      <c r="J170" t="s">
        <v>59</v>
      </c>
      <c r="K170" t="s">
        <v>28</v>
      </c>
      <c r="L170" s="11" t="s">
        <v>17</v>
      </c>
    </row>
    <row r="171" spans="1:12" x14ac:dyDescent="0.35">
      <c r="A171" s="1" t="s">
        <v>40</v>
      </c>
      <c r="B171" s="2">
        <v>1170</v>
      </c>
      <c r="C171">
        <v>4421</v>
      </c>
      <c r="D171" t="s">
        <v>23</v>
      </c>
      <c r="E171" s="3">
        <v>45</v>
      </c>
      <c r="F171" s="3">
        <v>87</v>
      </c>
      <c r="G171" s="3">
        <f t="shared" si="4"/>
        <v>42</v>
      </c>
      <c r="H171" s="3">
        <f t="shared" si="5"/>
        <v>8.4</v>
      </c>
      <c r="I171" t="s">
        <v>54</v>
      </c>
      <c r="J171" t="s">
        <v>55</v>
      </c>
      <c r="K171" t="s">
        <v>15</v>
      </c>
      <c r="L171" s="11" t="s">
        <v>11</v>
      </c>
    </row>
    <row r="172" spans="1:12" x14ac:dyDescent="0.35">
      <c r="A172" s="1" t="s">
        <v>40</v>
      </c>
      <c r="B172" s="2">
        <v>1171</v>
      </c>
      <c r="C172">
        <v>4421</v>
      </c>
      <c r="D172" t="s">
        <v>23</v>
      </c>
      <c r="E172" s="3">
        <v>45</v>
      </c>
      <c r="F172" s="3">
        <v>87</v>
      </c>
      <c r="G172" s="3">
        <f t="shared" si="4"/>
        <v>42</v>
      </c>
      <c r="H172" s="3">
        <f t="shared" si="5"/>
        <v>8.4</v>
      </c>
      <c r="I172" t="s">
        <v>56</v>
      </c>
      <c r="J172" t="s">
        <v>57</v>
      </c>
      <c r="K172" t="s">
        <v>27</v>
      </c>
      <c r="L172" s="11" t="s">
        <v>14</v>
      </c>
    </row>
    <row r="175" spans="1:12" x14ac:dyDescent="0.35">
      <c r="A175" s="4" t="s">
        <v>44</v>
      </c>
    </row>
    <row r="176" spans="1:12" x14ac:dyDescent="0.35">
      <c r="A176" s="5" t="s">
        <v>49</v>
      </c>
    </row>
    <row r="177" spans="1:6" x14ac:dyDescent="0.35">
      <c r="A177" s="5" t="s">
        <v>45</v>
      </c>
    </row>
    <row r="178" spans="1:6" x14ac:dyDescent="0.35">
      <c r="A178" s="5" t="s">
        <v>50</v>
      </c>
    </row>
    <row r="179" spans="1:6" x14ac:dyDescent="0.35">
      <c r="A179" s="5" t="s">
        <v>46</v>
      </c>
    </row>
    <row r="180" spans="1:6" x14ac:dyDescent="0.35">
      <c r="A180" s="5" t="s">
        <v>47</v>
      </c>
    </row>
    <row r="181" spans="1:6" x14ac:dyDescent="0.35">
      <c r="A181" s="5" t="s">
        <v>51</v>
      </c>
    </row>
    <row r="182" spans="1:6" x14ac:dyDescent="0.35">
      <c r="A182" s="5"/>
      <c r="B182" t="s">
        <v>70</v>
      </c>
    </row>
    <row r="183" spans="1:6" x14ac:dyDescent="0.35">
      <c r="A183" s="5" t="s">
        <v>48</v>
      </c>
    </row>
    <row r="184" spans="1:6" x14ac:dyDescent="0.35">
      <c r="A184" s="1"/>
    </row>
    <row r="185" spans="1:6" x14ac:dyDescent="0.35">
      <c r="A185" s="1" t="s">
        <v>41</v>
      </c>
      <c r="F185" s="3">
        <f>SUM(F2:F172)</f>
        <v>17110.599999999995</v>
      </c>
    </row>
    <row r="186" spans="1:6" x14ac:dyDescent="0.35">
      <c r="A186" s="1" t="s">
        <v>42</v>
      </c>
      <c r="F186" s="3">
        <f>SUMIF(F2:F172,"&gt;50")</f>
        <v>16088.399999999994</v>
      </c>
    </row>
    <row r="187" spans="1:6" x14ac:dyDescent="0.35">
      <c r="A187" s="1" t="s">
        <v>43</v>
      </c>
      <c r="F187" s="3">
        <f>SUMIF(F2:F172,"&lt;=50")</f>
        <v>1022.1999999999997</v>
      </c>
    </row>
    <row r="190" spans="1:6" x14ac:dyDescent="0.35">
      <c r="A190" s="1" t="s">
        <v>52</v>
      </c>
    </row>
    <row r="192" spans="1:6" s="8" customFormat="1" x14ac:dyDescent="0.35">
      <c r="A192" s="8" t="s">
        <v>53</v>
      </c>
      <c r="E192" s="9"/>
      <c r="F192" s="9"/>
    </row>
    <row r="193" spans="1:6" x14ac:dyDescent="0.35">
      <c r="A193" t="s">
        <v>62</v>
      </c>
    </row>
    <row r="194" spans="1:6" s="8" customFormat="1" x14ac:dyDescent="0.35">
      <c r="A194" s="8" t="s">
        <v>65</v>
      </c>
      <c r="E194" s="9"/>
      <c r="F194" s="9"/>
    </row>
    <row r="195" spans="1:6" x14ac:dyDescent="0.35">
      <c r="A195" t="s">
        <v>67</v>
      </c>
    </row>
    <row r="196" spans="1:6" s="8" customFormat="1" x14ac:dyDescent="0.35">
      <c r="A196" s="8" t="s">
        <v>68</v>
      </c>
      <c r="E196" s="9"/>
      <c r="F196" s="9"/>
    </row>
    <row r="197" spans="1:6" x14ac:dyDescent="0.35">
      <c r="A197" t="s">
        <v>69</v>
      </c>
    </row>
    <row r="198" spans="1:6" x14ac:dyDescent="0.35">
      <c r="A198" s="8" t="s">
        <v>75</v>
      </c>
    </row>
    <row r="199" spans="1:6" x14ac:dyDescent="0.35">
      <c r="A199"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0B01-8125-44E9-BC6C-9CB808FD5CE0}">
  <sheetPr>
    <pageSetUpPr fitToPage="1"/>
  </sheetPr>
  <dimension ref="A1:B8"/>
  <sheetViews>
    <sheetView workbookViewId="0">
      <selection activeCell="A5" sqref="A4:A7"/>
    </sheetView>
  </sheetViews>
  <sheetFormatPr defaultRowHeight="14.5" x14ac:dyDescent="0.35"/>
  <cols>
    <col min="1" max="1" width="12.453125" bestFit="1" customWidth="1"/>
    <col min="2" max="2" width="15.36328125" bestFit="1" customWidth="1"/>
    <col min="3" max="4" width="6.36328125" bestFit="1" customWidth="1"/>
    <col min="5" max="9" width="7.36328125" bestFit="1" customWidth="1"/>
    <col min="10" max="11" width="8.36328125" bestFit="1" customWidth="1"/>
    <col min="12" max="12" width="11.36328125" bestFit="1" customWidth="1"/>
  </cols>
  <sheetData>
    <row r="1" spans="1:2" x14ac:dyDescent="0.35">
      <c r="A1" t="s">
        <v>71</v>
      </c>
    </row>
    <row r="3" spans="1:2" x14ac:dyDescent="0.35">
      <c r="A3" s="13" t="s">
        <v>72</v>
      </c>
      <c r="B3" t="s">
        <v>74</v>
      </c>
    </row>
    <row r="4" spans="1:2" x14ac:dyDescent="0.35">
      <c r="A4" s="14" t="s">
        <v>55</v>
      </c>
      <c r="B4" s="3">
        <v>6003.5</v>
      </c>
    </row>
    <row r="5" spans="1:2" x14ac:dyDescent="0.35">
      <c r="A5" s="14" t="s">
        <v>57</v>
      </c>
      <c r="B5" s="3">
        <v>2410.7000000000003</v>
      </c>
    </row>
    <row r="6" spans="1:2" x14ac:dyDescent="0.35">
      <c r="A6" s="14" t="s">
        <v>61</v>
      </c>
      <c r="B6" s="3">
        <v>3035.3</v>
      </c>
    </row>
    <row r="7" spans="1:2" x14ac:dyDescent="0.35">
      <c r="A7" s="14" t="s">
        <v>59</v>
      </c>
      <c r="B7" s="3">
        <v>5661.0999999999985</v>
      </c>
    </row>
    <row r="8" spans="1:2" x14ac:dyDescent="0.35">
      <c r="A8" s="14" t="s">
        <v>73</v>
      </c>
      <c r="B8" s="3">
        <v>17110.599999999999</v>
      </c>
    </row>
  </sheetData>
  <pageMargins left="0.7" right="0.7" top="0.75" bottom="0.75" header="0.3" footer="0.3"/>
  <pageSetup scale="99"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Lalasa Mortha</dc:creator>
  <cp:lastModifiedBy>Lalasa Mortha</cp:lastModifiedBy>
  <cp:lastPrinted>2026-04-16T11:37:40Z</cp:lastPrinted>
  <dcterms:created xsi:type="dcterms:W3CDTF">2026-04-16T09:43:02Z</dcterms:created>
  <dcterms:modified xsi:type="dcterms:W3CDTF">2026-04-17T05:51:50Z</dcterms:modified>
</cp:coreProperties>
</file>