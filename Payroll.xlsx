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6505433d1c9e1c/Documents/Excel Projects/Payroll/"/>
    </mc:Choice>
  </mc:AlternateContent>
  <xr:revisionPtr revIDLastSave="0" documentId="8_{9F1C8552-B8CA-41A2-A724-DB67C498FC3A}" xr6:coauthVersionLast="47" xr6:coauthVersionMax="47" xr10:uidLastSave="{00000000-0000-0000-0000-000000000000}"/>
  <bookViews>
    <workbookView xWindow="-110" yWindow="-110" windowWidth="22620" windowHeight="13500" activeTab="2" xr2:uid="{BFE39995-BCB6-4386-9576-6FED874057E0}"/>
  </bookViews>
  <sheets>
    <sheet name="Assignment1" sheetId="1" r:id="rId1"/>
    <sheet name="Bonu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7" i="3" l="1"/>
  <c r="AD18" i="3"/>
  <c r="AD20" i="3" s="1"/>
  <c r="AD19" i="3"/>
  <c r="AB18" i="3"/>
  <c r="AB19" i="3"/>
  <c r="AB20" i="3"/>
  <c r="AD5" i="3"/>
  <c r="AD6" i="3"/>
  <c r="AD7" i="3"/>
  <c r="AD8" i="3"/>
  <c r="AD9" i="3"/>
  <c r="AD10" i="3"/>
  <c r="AD11" i="3"/>
  <c r="AD12" i="3"/>
  <c r="AD13" i="3"/>
  <c r="AD14" i="3"/>
  <c r="AD15" i="3"/>
  <c r="AD4" i="3"/>
  <c r="Y3" i="3"/>
  <c r="Z3" i="3" s="1"/>
  <c r="AA3" i="3" s="1"/>
  <c r="AB3" i="3" s="1"/>
  <c r="V4" i="3"/>
  <c r="AA4" i="3" s="1"/>
  <c r="U6" i="3"/>
  <c r="Z6" i="3" s="1"/>
  <c r="V6" i="3"/>
  <c r="AA6" i="3" s="1"/>
  <c r="T7" i="3"/>
  <c r="Y7" i="3" s="1"/>
  <c r="W10" i="3"/>
  <c r="AB10" i="3" s="1"/>
  <c r="T11" i="3"/>
  <c r="Y11" i="3" s="1"/>
  <c r="V12" i="3"/>
  <c r="AA12" i="3" s="1"/>
  <c r="V14" i="3"/>
  <c r="W14" i="3"/>
  <c r="AB14" i="3" s="1"/>
  <c r="T15" i="3"/>
  <c r="S15" i="3"/>
  <c r="X15" i="3" s="1"/>
  <c r="S4" i="3"/>
  <c r="U3" i="3"/>
  <c r="V3" i="3" s="1"/>
  <c r="W3" i="3" s="1"/>
  <c r="T3" i="3"/>
  <c r="P4" i="3"/>
  <c r="P17" i="3" s="1"/>
  <c r="Q4" i="3"/>
  <c r="Q17" i="3" s="1"/>
  <c r="R4" i="3"/>
  <c r="P5" i="3"/>
  <c r="Q5" i="3"/>
  <c r="R5" i="3"/>
  <c r="P6" i="3"/>
  <c r="Q6" i="3"/>
  <c r="R6" i="3"/>
  <c r="P7" i="3"/>
  <c r="Q7" i="3"/>
  <c r="R7" i="3"/>
  <c r="P8" i="3"/>
  <c r="Z8" i="3" s="1"/>
  <c r="Q8" i="3"/>
  <c r="R8" i="3"/>
  <c r="AB8" i="3" s="1"/>
  <c r="P9" i="3"/>
  <c r="Z9" i="3" s="1"/>
  <c r="Q9" i="3"/>
  <c r="R9" i="3"/>
  <c r="P10" i="3"/>
  <c r="Q10" i="3"/>
  <c r="R10" i="3"/>
  <c r="P11" i="3"/>
  <c r="Q11" i="3"/>
  <c r="R11" i="3"/>
  <c r="AB11" i="3" s="1"/>
  <c r="P12" i="3"/>
  <c r="Q12" i="3"/>
  <c r="R12" i="3"/>
  <c r="AB12" i="3" s="1"/>
  <c r="P13" i="3"/>
  <c r="Q13" i="3"/>
  <c r="AA13" i="3" s="1"/>
  <c r="R13" i="3"/>
  <c r="AB13" i="3" s="1"/>
  <c r="P14" i="3"/>
  <c r="Q14" i="3"/>
  <c r="AA14" i="3" s="1"/>
  <c r="R14" i="3"/>
  <c r="P15" i="3"/>
  <c r="Q15" i="3"/>
  <c r="AA15" i="3" s="1"/>
  <c r="R15" i="3"/>
  <c r="O5" i="3"/>
  <c r="O6" i="3"/>
  <c r="O7" i="3"/>
  <c r="O8" i="3"/>
  <c r="Y8" i="3" s="1"/>
  <c r="O9" i="3"/>
  <c r="Y9" i="3" s="1"/>
  <c r="O10" i="3"/>
  <c r="O11" i="3"/>
  <c r="O12" i="3"/>
  <c r="Y12" i="3" s="1"/>
  <c r="O13" i="3"/>
  <c r="Y13" i="3" s="1"/>
  <c r="O14" i="3"/>
  <c r="Y14" i="3" s="1"/>
  <c r="O15" i="3"/>
  <c r="Y15" i="3" s="1"/>
  <c r="O4" i="3"/>
  <c r="O17" i="3" s="1"/>
  <c r="N5" i="3"/>
  <c r="X5" i="3" s="1"/>
  <c r="N6" i="3"/>
  <c r="N7" i="3"/>
  <c r="N8" i="3"/>
  <c r="N9" i="3"/>
  <c r="N10" i="3"/>
  <c r="N11" i="3"/>
  <c r="N12" i="3"/>
  <c r="X12" i="3" s="1"/>
  <c r="N13" i="3"/>
  <c r="N14" i="3"/>
  <c r="N15" i="3"/>
  <c r="N4" i="3"/>
  <c r="N19" i="3" s="1"/>
  <c r="O3" i="3"/>
  <c r="P3" i="3" s="1"/>
  <c r="Q3" i="3" s="1"/>
  <c r="R3" i="3" s="1"/>
  <c r="M4" i="3"/>
  <c r="W4" i="3" s="1"/>
  <c r="M5" i="3"/>
  <c r="W5" i="3" s="1"/>
  <c r="M6" i="3"/>
  <c r="W6" i="3" s="1"/>
  <c r="AB6" i="3" s="1"/>
  <c r="M7" i="3"/>
  <c r="W7" i="3" s="1"/>
  <c r="M8" i="3"/>
  <c r="W8" i="3" s="1"/>
  <c r="M9" i="3"/>
  <c r="W9" i="3" s="1"/>
  <c r="M10" i="3"/>
  <c r="M11" i="3"/>
  <c r="W11" i="3" s="1"/>
  <c r="M12" i="3"/>
  <c r="W12" i="3" s="1"/>
  <c r="M13" i="3"/>
  <c r="W13" i="3" s="1"/>
  <c r="M14" i="3"/>
  <c r="M15" i="3"/>
  <c r="W15" i="3" s="1"/>
  <c r="L4" i="3"/>
  <c r="L5" i="3"/>
  <c r="V5" i="3" s="1"/>
  <c r="L6" i="3"/>
  <c r="L7" i="3"/>
  <c r="V7" i="3" s="1"/>
  <c r="L8" i="3"/>
  <c r="V8" i="3" s="1"/>
  <c r="L9" i="3"/>
  <c r="V9" i="3" s="1"/>
  <c r="AA9" i="3" s="1"/>
  <c r="L10" i="3"/>
  <c r="V10" i="3" s="1"/>
  <c r="AA10" i="3" s="1"/>
  <c r="L11" i="3"/>
  <c r="V11" i="3" s="1"/>
  <c r="L12" i="3"/>
  <c r="L13" i="3"/>
  <c r="V13" i="3" s="1"/>
  <c r="L14" i="3"/>
  <c r="L15" i="3"/>
  <c r="V15" i="3" s="1"/>
  <c r="K4" i="3"/>
  <c r="U4" i="3" s="1"/>
  <c r="K5" i="3"/>
  <c r="U5" i="3" s="1"/>
  <c r="K6" i="3"/>
  <c r="K7" i="3"/>
  <c r="U7" i="3" s="1"/>
  <c r="Z7" i="3" s="1"/>
  <c r="K8" i="3"/>
  <c r="U8" i="3" s="1"/>
  <c r="K9" i="3"/>
  <c r="U9" i="3" s="1"/>
  <c r="K10" i="3"/>
  <c r="U10" i="3" s="1"/>
  <c r="Z10" i="3" s="1"/>
  <c r="K11" i="3"/>
  <c r="U11" i="3" s="1"/>
  <c r="Z11" i="3" s="1"/>
  <c r="K12" i="3"/>
  <c r="U12" i="3" s="1"/>
  <c r="Z12" i="3" s="1"/>
  <c r="K13" i="3"/>
  <c r="U13" i="3" s="1"/>
  <c r="K14" i="3"/>
  <c r="U14" i="3" s="1"/>
  <c r="K15" i="3"/>
  <c r="U15" i="3" s="1"/>
  <c r="Z15" i="3" s="1"/>
  <c r="J5" i="3"/>
  <c r="T5" i="3" s="1"/>
  <c r="J6" i="3"/>
  <c r="T6" i="3" s="1"/>
  <c r="Y6" i="3" s="1"/>
  <c r="J7" i="3"/>
  <c r="J8" i="3"/>
  <c r="T8" i="3" s="1"/>
  <c r="J9" i="3"/>
  <c r="T9" i="3" s="1"/>
  <c r="J10" i="3"/>
  <c r="T10" i="3" s="1"/>
  <c r="Y10" i="3" s="1"/>
  <c r="J11" i="3"/>
  <c r="J12" i="3"/>
  <c r="T12" i="3" s="1"/>
  <c r="J13" i="3"/>
  <c r="T13" i="3" s="1"/>
  <c r="J14" i="3"/>
  <c r="T14" i="3" s="1"/>
  <c r="J15" i="3"/>
  <c r="J4" i="3"/>
  <c r="T4" i="3" s="1"/>
  <c r="I5" i="3"/>
  <c r="S5" i="3" s="1"/>
  <c r="I6" i="3"/>
  <c r="S6" i="3" s="1"/>
  <c r="X6" i="3" s="1"/>
  <c r="I7" i="3"/>
  <c r="S7" i="3" s="1"/>
  <c r="X7" i="3" s="1"/>
  <c r="I8" i="3"/>
  <c r="S8" i="3" s="1"/>
  <c r="I9" i="3"/>
  <c r="S9" i="3" s="1"/>
  <c r="I10" i="3"/>
  <c r="S10" i="3" s="1"/>
  <c r="I11" i="3"/>
  <c r="S11" i="3" s="1"/>
  <c r="X11" i="3" s="1"/>
  <c r="I12" i="3"/>
  <c r="S12" i="3" s="1"/>
  <c r="I13" i="3"/>
  <c r="S13" i="3" s="1"/>
  <c r="X13" i="3" s="1"/>
  <c r="I14" i="3"/>
  <c r="S14" i="3" s="1"/>
  <c r="X14" i="3" s="1"/>
  <c r="I15" i="3"/>
  <c r="J3" i="3"/>
  <c r="K3" i="3" s="1"/>
  <c r="L3" i="3" s="1"/>
  <c r="M3" i="3" s="1"/>
  <c r="F3" i="3"/>
  <c r="G3" i="3" s="1"/>
  <c r="H3" i="3" s="1"/>
  <c r="D19" i="3"/>
  <c r="C19" i="3"/>
  <c r="D18" i="3"/>
  <c r="C18" i="3"/>
  <c r="D17" i="3"/>
  <c r="C17" i="3"/>
  <c r="I4" i="3"/>
  <c r="C17" i="2"/>
  <c r="D17" i="2"/>
  <c r="D20" i="2" s="1"/>
  <c r="F17" i="2"/>
  <c r="F20" i="2" s="1"/>
  <c r="G17" i="2"/>
  <c r="G20" i="2" s="1"/>
  <c r="H17" i="2"/>
  <c r="H20" i="2" s="1"/>
  <c r="C18" i="2"/>
  <c r="D18" i="2"/>
  <c r="F18" i="2"/>
  <c r="G18" i="2"/>
  <c r="H18" i="2"/>
  <c r="C19" i="2"/>
  <c r="D19" i="2"/>
  <c r="F19" i="2"/>
  <c r="G19" i="2"/>
  <c r="H19" i="2"/>
  <c r="H5" i="2"/>
  <c r="H6" i="2"/>
  <c r="H7" i="2"/>
  <c r="H8" i="2"/>
  <c r="H9" i="2"/>
  <c r="H10" i="2"/>
  <c r="H11" i="2"/>
  <c r="H12" i="2"/>
  <c r="H13" i="2"/>
  <c r="H14" i="2"/>
  <c r="H15" i="2"/>
  <c r="H4" i="2"/>
  <c r="G5" i="2"/>
  <c r="G6" i="2"/>
  <c r="G7" i="2"/>
  <c r="G8" i="2"/>
  <c r="G9" i="2"/>
  <c r="G10" i="2"/>
  <c r="G11" i="2"/>
  <c r="G12" i="2"/>
  <c r="G13" i="2"/>
  <c r="G14" i="2"/>
  <c r="G15" i="2"/>
  <c r="G4" i="2"/>
  <c r="F4" i="2"/>
  <c r="E5" i="2"/>
  <c r="E6" i="2"/>
  <c r="E7" i="2"/>
  <c r="E8" i="2"/>
  <c r="E9" i="2"/>
  <c r="E10" i="2"/>
  <c r="E11" i="2"/>
  <c r="E12" i="2"/>
  <c r="E13" i="2"/>
  <c r="E14" i="2"/>
  <c r="E15" i="2"/>
  <c r="E4" i="2"/>
  <c r="F15" i="2"/>
  <c r="F14" i="2"/>
  <c r="F13" i="2"/>
  <c r="F12" i="2"/>
  <c r="F11" i="2"/>
  <c r="F10" i="2"/>
  <c r="F9" i="2"/>
  <c r="F8" i="2"/>
  <c r="F7" i="2"/>
  <c r="F6" i="2"/>
  <c r="F5" i="2"/>
  <c r="E20" i="1"/>
  <c r="D20" i="1"/>
  <c r="E17" i="1"/>
  <c r="E18" i="1"/>
  <c r="E19" i="1"/>
  <c r="D17" i="1"/>
  <c r="D19" i="1"/>
  <c r="D18" i="1"/>
  <c r="C18" i="1"/>
  <c r="C19" i="1"/>
  <c r="C17" i="1"/>
  <c r="E6" i="1"/>
  <c r="E7" i="1"/>
  <c r="E15" i="1"/>
  <c r="E14" i="1"/>
  <c r="E13" i="1"/>
  <c r="E12" i="1"/>
  <c r="E11" i="1"/>
  <c r="E10" i="1"/>
  <c r="E9" i="1"/>
  <c r="E8" i="1"/>
  <c r="E5" i="1"/>
  <c r="E4" i="1"/>
  <c r="S17" i="3" l="1"/>
  <c r="AB7" i="3"/>
  <c r="AB5" i="3"/>
  <c r="X9" i="3"/>
  <c r="Y5" i="3"/>
  <c r="AA5" i="3"/>
  <c r="W17" i="3"/>
  <c r="W19" i="3"/>
  <c r="W18" i="3"/>
  <c r="AA8" i="3"/>
  <c r="T17" i="3"/>
  <c r="T19" i="3"/>
  <c r="T18" i="3"/>
  <c r="Z13" i="3"/>
  <c r="V18" i="3"/>
  <c r="AA7" i="3"/>
  <c r="AA11" i="3"/>
  <c r="Z4" i="3"/>
  <c r="U17" i="3"/>
  <c r="U19" i="3"/>
  <c r="U18" i="3"/>
  <c r="X10" i="3"/>
  <c r="X8" i="3"/>
  <c r="AB15" i="3"/>
  <c r="Z5" i="3"/>
  <c r="Z14" i="3"/>
  <c r="AB4" i="3"/>
  <c r="AA18" i="3"/>
  <c r="AA19" i="3"/>
  <c r="AA17" i="3"/>
  <c r="AA20" i="3" s="1"/>
  <c r="AB9" i="3"/>
  <c r="N18" i="3"/>
  <c r="X4" i="3"/>
  <c r="Q19" i="3"/>
  <c r="S18" i="3"/>
  <c r="R19" i="3"/>
  <c r="P19" i="3"/>
  <c r="O19" i="3"/>
  <c r="O20" i="3" s="1"/>
  <c r="R18" i="3"/>
  <c r="R20" i="3" s="1"/>
  <c r="V19" i="3"/>
  <c r="Q18" i="3"/>
  <c r="Q20" i="3" s="1"/>
  <c r="P18" i="3"/>
  <c r="P20" i="3" s="1"/>
  <c r="V17" i="3"/>
  <c r="V20" i="3" s="1"/>
  <c r="S19" i="3"/>
  <c r="S20" i="3" s="1"/>
  <c r="Y4" i="3"/>
  <c r="O18" i="3"/>
  <c r="R17" i="3"/>
  <c r="N17" i="3"/>
  <c r="N20" i="3" s="1"/>
  <c r="D20" i="3"/>
  <c r="Y18" i="3" l="1"/>
  <c r="Y17" i="3"/>
  <c r="Y19" i="3"/>
  <c r="AB17" i="3"/>
  <c r="T20" i="3"/>
  <c r="W20" i="3"/>
  <c r="U20" i="3"/>
  <c r="X17" i="3"/>
  <c r="X19" i="3"/>
  <c r="X18" i="3"/>
  <c r="Z18" i="3"/>
  <c r="Z17" i="3"/>
  <c r="Z19" i="3"/>
  <c r="Z20" i="3" l="1"/>
  <c r="X20" i="3"/>
  <c r="Y20" i="3"/>
</calcChain>
</file>

<file path=xl/sharedStrings.xml><?xml version="1.0" encoding="utf-8"?>
<sst xmlns="http://schemas.openxmlformats.org/spreadsheetml/2006/main" count="85" uniqueCount="33">
  <si>
    <t>Employee Payroll</t>
  </si>
  <si>
    <t>Last Name</t>
  </si>
  <si>
    <t>First Name</t>
  </si>
  <si>
    <t>Hourly Wage</t>
  </si>
  <si>
    <t>Pay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</si>
  <si>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</si>
  <si>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</si>
  <si>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</si>
  <si>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</si>
  <si>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</si>
  <si>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</si>
  <si>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</si>
  <si>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</si>
  <si>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</si>
  <si>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</si>
  <si>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</si>
  <si>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</si>
  <si>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Hours Worked</t>
  </si>
  <si>
    <t>Max</t>
  </si>
  <si>
    <t>Min</t>
  </si>
  <si>
    <t>Avg</t>
  </si>
  <si>
    <t>Total</t>
  </si>
  <si>
    <t>Overtime hours</t>
  </si>
  <si>
    <t>Hours should be of 45</t>
  </si>
  <si>
    <t>Overtime bonus</t>
  </si>
  <si>
    <t>FORMULAS</t>
  </si>
  <si>
    <t>Overtime hours  (considering minimum hours worked is 45 )==  if D4&gt;45,if true D4-45.If false ,0</t>
  </si>
  <si>
    <t>Overtime bonus == half  of the hourly wage *C4*no of overtime hours they worked</t>
  </si>
  <si>
    <t>Total Pay</t>
  </si>
  <si>
    <t>Total Pay=Pay + Overtime bonus</t>
  </si>
  <si>
    <t>To calculate pay for corresponding hours and wages,Instead of relative referencing,we want absolute referencing.We use dollar ($) symbol before the formula which makes absolute cell reference in a  formula.</t>
  </si>
  <si>
    <t>Count</t>
  </si>
  <si>
    <t>Jan 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</si>
</sst>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0" fontId="0" fillId="4" borderId="0" xfId="0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  <xf numFmtId="16" fontId="0" fillId="7" borderId="0" xfId="0" applyNumberFormat="1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418C-0C9B-46C2-8979-7D98FCAC7E2F}">
  <dimension ref="A1:E21"/>
  <sheetViews>
    <sheetView workbookViewId="0">
      <selection activeCell="F23" sqref="F23"/>
    </sheetView>
  </sheetViews>
  <sheetFormatPr defaultRowHeight="14.5" x14ac:dyDescent="0.35"/>
  <cols>
    <col min="3" max="3" width="10.90625" bestFit="1" customWidth="1"/>
    <col min="4" max="4" width="12.54296875" bestFit="1" customWidth="1"/>
    <col min="5" max="5" width="11.81640625" customWidth="1"/>
  </cols>
  <sheetData>
    <row r="1" spans="1:5" x14ac:dyDescent="0.35">
      <c r="A1" t="s">
        <v>0</v>
      </c>
    </row>
    <row r="2" spans="1:5" x14ac:dyDescent="0.35">
      <c r="D2" t="s">
        <v>17</v>
      </c>
      <c r="E2" t="s">
        <v>4</v>
      </c>
    </row>
    <row r="3" spans="1:5" x14ac:dyDescent="0.35">
      <c r="A3" t="s">
        <v>1</v>
      </c>
      <c r="B3" t="s">
        <v>2</v>
      </c>
      <c r="C3" t="s">
        <v>3</v>
      </c>
      <c r="D3" s="1">
        <v>46023</v>
      </c>
    </row>
    <row r="4" spans="1:5" x14ac:dyDescent="0.35">
      <c r="A4" t="s">
        <v>5</v>
      </c>
      <c r="B4">
        <v>1</v>
      </c>
      <c r="C4" s="2">
        <v>10</v>
      </c>
      <c r="D4">
        <v>40</v>
      </c>
      <c r="E4" s="2">
        <f>C4*D4</f>
        <v>400</v>
      </c>
    </row>
    <row r="5" spans="1:5" x14ac:dyDescent="0.35">
      <c r="A5" t="s">
        <v>6</v>
      </c>
      <c r="B5">
        <v>2</v>
      </c>
      <c r="C5" s="2">
        <v>20</v>
      </c>
      <c r="D5">
        <v>41</v>
      </c>
      <c r="E5" s="2">
        <f>C5*D5</f>
        <v>820</v>
      </c>
    </row>
    <row r="6" spans="1:5" x14ac:dyDescent="0.35">
      <c r="A6" t="s">
        <v>7</v>
      </c>
      <c r="B6">
        <v>3</v>
      </c>
      <c r="C6" s="2">
        <v>30</v>
      </c>
      <c r="D6">
        <v>42</v>
      </c>
      <c r="E6" s="2">
        <f>C6*D6</f>
        <v>1260</v>
      </c>
    </row>
    <row r="7" spans="1:5" x14ac:dyDescent="0.35">
      <c r="A7" t="s">
        <v>8</v>
      </c>
      <c r="B7">
        <v>4</v>
      </c>
      <c r="C7" s="2">
        <v>40</v>
      </c>
      <c r="D7">
        <v>43</v>
      </c>
      <c r="E7" s="2">
        <f>C7*D7</f>
        <v>1720</v>
      </c>
    </row>
    <row r="8" spans="1:5" x14ac:dyDescent="0.35">
      <c r="A8" t="s">
        <v>9</v>
      </c>
      <c r="B8">
        <v>5</v>
      </c>
      <c r="C8" s="2">
        <v>50</v>
      </c>
      <c r="D8">
        <v>44</v>
      </c>
      <c r="E8" s="2">
        <f t="shared" ref="E6:E15" si="0">C8*D8</f>
        <v>2200</v>
      </c>
    </row>
    <row r="9" spans="1:5" x14ac:dyDescent="0.35">
      <c r="A9" t="s">
        <v>10</v>
      </c>
      <c r="B9">
        <v>6</v>
      </c>
      <c r="C9" s="2">
        <v>60</v>
      </c>
      <c r="D9">
        <v>45</v>
      </c>
      <c r="E9" s="2">
        <f t="shared" si="0"/>
        <v>2700</v>
      </c>
    </row>
    <row r="10" spans="1:5" x14ac:dyDescent="0.35">
      <c r="A10" t="s">
        <v>11</v>
      </c>
      <c r="B10">
        <v>7</v>
      </c>
      <c r="C10" s="2">
        <v>70</v>
      </c>
      <c r="D10">
        <v>46</v>
      </c>
      <c r="E10" s="2">
        <f t="shared" si="0"/>
        <v>3220</v>
      </c>
    </row>
    <row r="11" spans="1:5" x14ac:dyDescent="0.35">
      <c r="A11" t="s">
        <v>12</v>
      </c>
      <c r="B11">
        <v>8</v>
      </c>
      <c r="C11" s="2">
        <v>80</v>
      </c>
      <c r="D11">
        <v>47</v>
      </c>
      <c r="E11" s="2">
        <f t="shared" si="0"/>
        <v>3760</v>
      </c>
    </row>
    <row r="12" spans="1:5" x14ac:dyDescent="0.35">
      <c r="A12" t="s">
        <v>13</v>
      </c>
      <c r="B12">
        <v>9</v>
      </c>
      <c r="C12" s="2">
        <v>90</v>
      </c>
      <c r="D12">
        <v>42</v>
      </c>
      <c r="E12" s="2">
        <f t="shared" si="0"/>
        <v>3780</v>
      </c>
    </row>
    <row r="13" spans="1:5" x14ac:dyDescent="0.35">
      <c r="A13" t="s">
        <v>14</v>
      </c>
      <c r="B13">
        <v>10</v>
      </c>
      <c r="C13" s="2">
        <v>100</v>
      </c>
      <c r="D13">
        <v>43</v>
      </c>
      <c r="E13" s="2">
        <f t="shared" si="0"/>
        <v>4300</v>
      </c>
    </row>
    <row r="14" spans="1:5" x14ac:dyDescent="0.35">
      <c r="A14" t="s">
        <v>15</v>
      </c>
      <c r="B14">
        <v>11</v>
      </c>
      <c r="C14" s="2">
        <v>110</v>
      </c>
      <c r="D14">
        <v>44</v>
      </c>
      <c r="E14" s="2">
        <f t="shared" si="0"/>
        <v>4840</v>
      </c>
    </row>
    <row r="15" spans="1:5" x14ac:dyDescent="0.35">
      <c r="A15" t="s">
        <v>16</v>
      </c>
      <c r="B15">
        <v>12</v>
      </c>
      <c r="C15" s="2">
        <v>120</v>
      </c>
      <c r="D15">
        <v>45</v>
      </c>
      <c r="E15" s="2">
        <f t="shared" si="0"/>
        <v>5400</v>
      </c>
    </row>
    <row r="17" spans="1:5" x14ac:dyDescent="0.35">
      <c r="A17" t="s">
        <v>18</v>
      </c>
      <c r="C17" s="2">
        <f>MAX(C4:C15)</f>
        <v>120</v>
      </c>
      <c r="D17" s="3">
        <f>MAX(D4:D15)</f>
        <v>47</v>
      </c>
      <c r="E17" s="2">
        <f>MAX(E4:E15)</f>
        <v>5400</v>
      </c>
    </row>
    <row r="18" spans="1:5" x14ac:dyDescent="0.35">
      <c r="A18" t="s">
        <v>19</v>
      </c>
      <c r="C18" s="2">
        <f>MIN(C4:C15)</f>
        <v>10</v>
      </c>
      <c r="D18" s="3">
        <f>MIN(D4:D15)</f>
        <v>40</v>
      </c>
      <c r="E18" s="2">
        <f>MIN(E4:E15)</f>
        <v>400</v>
      </c>
    </row>
    <row r="19" spans="1:5" x14ac:dyDescent="0.35">
      <c r="A19" t="s">
        <v>20</v>
      </c>
      <c r="C19" s="2">
        <f>AVERAGE(C4:C15)</f>
        <v>65</v>
      </c>
      <c r="D19" s="3">
        <f>AVERAGE(D4:D15)</f>
        <v>43.5</v>
      </c>
      <c r="E19" s="2">
        <f>AVERAGE(E4:E15)</f>
        <v>2866.6666666666665</v>
      </c>
    </row>
    <row r="20" spans="1:5" x14ac:dyDescent="0.35">
      <c r="A20" t="s">
        <v>21</v>
      </c>
      <c r="D20" s="3">
        <f>SUM(D17:D19)</f>
        <v>130.5</v>
      </c>
      <c r="E20" s="2">
        <f>SUM(E17:E19)</f>
        <v>8666.6666666666661</v>
      </c>
    </row>
    <row r="21" spans="1:5" x14ac:dyDescent="0.35">
      <c r="A2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CA75-D571-4374-ACED-27E23FF74FFB}">
  <dimension ref="A1:H28"/>
  <sheetViews>
    <sheetView workbookViewId="0">
      <selection activeCell="A25" sqref="A25:XFD28"/>
    </sheetView>
  </sheetViews>
  <sheetFormatPr defaultRowHeight="14.5" x14ac:dyDescent="0.35"/>
  <cols>
    <col min="3" max="3" width="20.36328125" customWidth="1"/>
    <col min="4" max="4" width="12.54296875" bestFit="1" customWidth="1"/>
    <col min="5" max="5" width="14.90625" customWidth="1"/>
    <col min="6" max="6" width="11.81640625" customWidth="1"/>
    <col min="7" max="7" width="12.90625" customWidth="1"/>
    <col min="8" max="8" width="11.36328125" customWidth="1"/>
  </cols>
  <sheetData>
    <row r="1" spans="1:8" x14ac:dyDescent="0.35">
      <c r="A1" t="s">
        <v>0</v>
      </c>
      <c r="C1" t="s">
        <v>23</v>
      </c>
    </row>
    <row r="2" spans="1:8" x14ac:dyDescent="0.35">
      <c r="D2" t="s">
        <v>17</v>
      </c>
      <c r="E2" t="s">
        <v>22</v>
      </c>
      <c r="F2" t="s">
        <v>4</v>
      </c>
      <c r="G2" t="s">
        <v>24</v>
      </c>
      <c r="H2" t="s">
        <v>28</v>
      </c>
    </row>
    <row r="3" spans="1:8" x14ac:dyDescent="0.35">
      <c r="A3" t="s">
        <v>1</v>
      </c>
      <c r="B3" t="s">
        <v>2</v>
      </c>
      <c r="C3" t="s">
        <v>3</v>
      </c>
      <c r="D3" s="1">
        <v>46023</v>
      </c>
      <c r="E3" s="1"/>
    </row>
    <row r="4" spans="1:8" x14ac:dyDescent="0.35">
      <c r="A4" t="s">
        <v>5</v>
      </c>
      <c r="B4">
        <v>1</v>
      </c>
      <c r="C4" s="2">
        <v>10</v>
      </c>
      <c r="D4">
        <v>40</v>
      </c>
      <c r="E4">
        <f>IF(D4&gt;45,D4-45,0)</f>
        <v>0</v>
      </c>
      <c r="F4" s="2">
        <f>C4*D4</f>
        <v>400</v>
      </c>
      <c r="G4" s="2">
        <f>0.5*C4*E4</f>
        <v>0</v>
      </c>
      <c r="H4" s="2">
        <f>F4+G4</f>
        <v>400</v>
      </c>
    </row>
    <row r="5" spans="1:8" x14ac:dyDescent="0.35">
      <c r="A5" t="s">
        <v>6</v>
      </c>
      <c r="B5">
        <v>2</v>
      </c>
      <c r="C5" s="2">
        <v>20</v>
      </c>
      <c r="D5">
        <v>50</v>
      </c>
      <c r="E5">
        <f t="shared" ref="E5:E15" si="0">IF(D5&gt;45,D5-45,0)</f>
        <v>5</v>
      </c>
      <c r="F5" s="2">
        <f>C5*D5</f>
        <v>1000</v>
      </c>
      <c r="G5" s="2">
        <f t="shared" ref="G5:G15" si="1">0.5*C5*E5</f>
        <v>50</v>
      </c>
      <c r="H5" s="2">
        <f t="shared" ref="H5:H15" si="2">F5+G5</f>
        <v>1050</v>
      </c>
    </row>
    <row r="6" spans="1:8" x14ac:dyDescent="0.35">
      <c r="A6" t="s">
        <v>7</v>
      </c>
      <c r="B6">
        <v>3</v>
      </c>
      <c r="C6" s="2">
        <v>30</v>
      </c>
      <c r="D6">
        <v>54</v>
      </c>
      <c r="E6">
        <f t="shared" si="0"/>
        <v>9</v>
      </c>
      <c r="F6" s="2">
        <f>C6*D6</f>
        <v>1620</v>
      </c>
      <c r="G6" s="2">
        <f t="shared" si="1"/>
        <v>135</v>
      </c>
      <c r="H6" s="2">
        <f t="shared" si="2"/>
        <v>1755</v>
      </c>
    </row>
    <row r="7" spans="1:8" x14ac:dyDescent="0.35">
      <c r="A7" t="s">
        <v>8</v>
      </c>
      <c r="B7">
        <v>4</v>
      </c>
      <c r="C7" s="2">
        <v>40</v>
      </c>
      <c r="D7">
        <v>57</v>
      </c>
      <c r="E7">
        <f t="shared" si="0"/>
        <v>12</v>
      </c>
      <c r="F7" s="2">
        <f>C7*D7</f>
        <v>2280</v>
      </c>
      <c r="G7" s="2">
        <f t="shared" si="1"/>
        <v>240</v>
      </c>
      <c r="H7" s="2">
        <f t="shared" si="2"/>
        <v>2520</v>
      </c>
    </row>
    <row r="8" spans="1:8" x14ac:dyDescent="0.35">
      <c r="A8" t="s">
        <v>9</v>
      </c>
      <c r="B8">
        <v>5</v>
      </c>
      <c r="C8" s="2">
        <v>50</v>
      </c>
      <c r="D8">
        <v>44</v>
      </c>
      <c r="E8">
        <f t="shared" si="0"/>
        <v>0</v>
      </c>
      <c r="F8" s="2">
        <f t="shared" ref="F8:F15" si="3">C8*D8</f>
        <v>2200</v>
      </c>
      <c r="G8" s="2">
        <f t="shared" si="1"/>
        <v>0</v>
      </c>
      <c r="H8" s="2">
        <f t="shared" si="2"/>
        <v>2200</v>
      </c>
    </row>
    <row r="9" spans="1:8" x14ac:dyDescent="0.35">
      <c r="A9" t="s">
        <v>10</v>
      </c>
      <c r="B9">
        <v>6</v>
      </c>
      <c r="C9" s="2">
        <v>60</v>
      </c>
      <c r="D9">
        <v>45</v>
      </c>
      <c r="E9">
        <f t="shared" si="0"/>
        <v>0</v>
      </c>
      <c r="F9" s="2">
        <f t="shared" si="3"/>
        <v>2700</v>
      </c>
      <c r="G9" s="2">
        <f t="shared" si="1"/>
        <v>0</v>
      </c>
      <c r="H9" s="2">
        <f t="shared" si="2"/>
        <v>2700</v>
      </c>
    </row>
    <row r="10" spans="1:8" x14ac:dyDescent="0.35">
      <c r="A10" t="s">
        <v>11</v>
      </c>
      <c r="B10">
        <v>7</v>
      </c>
      <c r="C10" s="2">
        <v>70</v>
      </c>
      <c r="D10">
        <v>46</v>
      </c>
      <c r="E10">
        <f t="shared" si="0"/>
        <v>1</v>
      </c>
      <c r="F10" s="2">
        <f t="shared" si="3"/>
        <v>3220</v>
      </c>
      <c r="G10" s="2">
        <f t="shared" si="1"/>
        <v>35</v>
      </c>
      <c r="H10" s="2">
        <f t="shared" si="2"/>
        <v>3255</v>
      </c>
    </row>
    <row r="11" spans="1:8" x14ac:dyDescent="0.35">
      <c r="A11" t="s">
        <v>12</v>
      </c>
      <c r="B11">
        <v>8</v>
      </c>
      <c r="C11" s="2">
        <v>80</v>
      </c>
      <c r="D11">
        <v>47</v>
      </c>
      <c r="E11">
        <f t="shared" si="0"/>
        <v>2</v>
      </c>
      <c r="F11" s="2">
        <f t="shared" si="3"/>
        <v>3760</v>
      </c>
      <c r="G11" s="2">
        <f t="shared" si="1"/>
        <v>80</v>
      </c>
      <c r="H11" s="2">
        <f t="shared" si="2"/>
        <v>3840</v>
      </c>
    </row>
    <row r="12" spans="1:8" x14ac:dyDescent="0.35">
      <c r="A12" t="s">
        <v>13</v>
      </c>
      <c r="B12">
        <v>9</v>
      </c>
      <c r="C12" s="2">
        <v>90</v>
      </c>
      <c r="D12">
        <v>42</v>
      </c>
      <c r="E12">
        <f t="shared" si="0"/>
        <v>0</v>
      </c>
      <c r="F12" s="2">
        <f t="shared" si="3"/>
        <v>3780</v>
      </c>
      <c r="G12" s="2">
        <f t="shared" si="1"/>
        <v>0</v>
      </c>
      <c r="H12" s="2">
        <f t="shared" si="2"/>
        <v>3780</v>
      </c>
    </row>
    <row r="13" spans="1:8" x14ac:dyDescent="0.35">
      <c r="A13" t="s">
        <v>14</v>
      </c>
      <c r="B13">
        <v>10</v>
      </c>
      <c r="C13" s="2">
        <v>100</v>
      </c>
      <c r="D13">
        <v>43</v>
      </c>
      <c r="E13">
        <f t="shared" si="0"/>
        <v>0</v>
      </c>
      <c r="F13" s="2">
        <f t="shared" si="3"/>
        <v>4300</v>
      </c>
      <c r="G13" s="2">
        <f t="shared" si="1"/>
        <v>0</v>
      </c>
      <c r="H13" s="2">
        <f t="shared" si="2"/>
        <v>4300</v>
      </c>
    </row>
    <row r="14" spans="1:8" x14ac:dyDescent="0.35">
      <c r="A14" t="s">
        <v>15</v>
      </c>
      <c r="B14">
        <v>11</v>
      </c>
      <c r="C14" s="2">
        <v>110</v>
      </c>
      <c r="D14">
        <v>44</v>
      </c>
      <c r="E14">
        <f t="shared" si="0"/>
        <v>0</v>
      </c>
      <c r="F14" s="2">
        <f t="shared" si="3"/>
        <v>4840</v>
      </c>
      <c r="G14" s="2">
        <f t="shared" si="1"/>
        <v>0</v>
      </c>
      <c r="H14" s="2">
        <f t="shared" si="2"/>
        <v>4840</v>
      </c>
    </row>
    <row r="15" spans="1:8" x14ac:dyDescent="0.35">
      <c r="A15" t="s">
        <v>16</v>
      </c>
      <c r="B15">
        <v>12</v>
      </c>
      <c r="C15" s="2">
        <v>120</v>
      </c>
      <c r="D15">
        <v>45</v>
      </c>
      <c r="E15">
        <f t="shared" si="0"/>
        <v>0</v>
      </c>
      <c r="F15" s="2">
        <f t="shared" si="3"/>
        <v>5400</v>
      </c>
      <c r="G15" s="2">
        <f t="shared" si="1"/>
        <v>0</v>
      </c>
      <c r="H15" s="2">
        <f t="shared" si="2"/>
        <v>5400</v>
      </c>
    </row>
    <row r="17" spans="1:8" x14ac:dyDescent="0.35">
      <c r="A17" t="s">
        <v>18</v>
      </c>
      <c r="C17" s="2">
        <f>MAX(C4:C15)</f>
        <v>120</v>
      </c>
      <c r="D17" s="3">
        <f>MAX(D4:D15)</f>
        <v>57</v>
      </c>
      <c r="E17" s="3"/>
      <c r="F17" s="2">
        <f>MAX(F4:F15)</f>
        <v>5400</v>
      </c>
      <c r="G17" s="2">
        <f t="shared" ref="G17:H17" si="4">MAX(G4:G15)</f>
        <v>240</v>
      </c>
      <c r="H17" s="2">
        <f t="shared" si="4"/>
        <v>5400</v>
      </c>
    </row>
    <row r="18" spans="1:8" x14ac:dyDescent="0.35">
      <c r="A18" t="s">
        <v>19</v>
      </c>
      <c r="C18" s="2">
        <f>MIN(C4:C15)</f>
        <v>10</v>
      </c>
      <c r="D18" s="3">
        <f>MIN(D4:D15)</f>
        <v>40</v>
      </c>
      <c r="E18" s="3"/>
      <c r="F18" s="2">
        <f>MIN(F4:F15)</f>
        <v>400</v>
      </c>
      <c r="G18" s="2">
        <f t="shared" ref="G18:H18" si="5">MIN(G4:G15)</f>
        <v>0</v>
      </c>
      <c r="H18" s="2">
        <f t="shared" si="5"/>
        <v>400</v>
      </c>
    </row>
    <row r="19" spans="1:8" x14ac:dyDescent="0.35">
      <c r="A19" t="s">
        <v>20</v>
      </c>
      <c r="C19" s="2">
        <f>AVERAGE(C4:C15)</f>
        <v>65</v>
      </c>
      <c r="D19" s="3">
        <f>AVERAGE(D4:D15)</f>
        <v>46.416666666666664</v>
      </c>
      <c r="E19" s="3"/>
      <c r="F19" s="2">
        <f>AVERAGE(F4:F15)</f>
        <v>2958.3333333333335</v>
      </c>
      <c r="G19" s="2">
        <f t="shared" ref="G19:H19" si="6">AVERAGE(G4:G15)</f>
        <v>45</v>
      </c>
      <c r="H19" s="2">
        <f t="shared" si="6"/>
        <v>3003.3333333333335</v>
      </c>
    </row>
    <row r="20" spans="1:8" x14ac:dyDescent="0.35">
      <c r="A20" t="s">
        <v>21</v>
      </c>
      <c r="D20" s="3">
        <f>SUM(D17:D19)</f>
        <v>143.41666666666666</v>
      </c>
      <c r="E20" s="3"/>
      <c r="F20" s="2">
        <f>SUM(F17:F19)</f>
        <v>8758.3333333333339</v>
      </c>
      <c r="G20" s="2">
        <f t="shared" ref="G20:H20" si="7">SUM(G17:G19)</f>
        <v>285</v>
      </c>
      <c r="H20" s="2">
        <f t="shared" si="7"/>
        <v>8803.3333333333339</v>
      </c>
    </row>
    <row r="23" spans="1:8" x14ac:dyDescent="0.35">
      <c r="A23" s="5" t="s">
        <v>25</v>
      </c>
    </row>
    <row r="25" spans="1:8" s="6" customFormat="1" x14ac:dyDescent="0.35">
      <c r="A25" s="6" t="s">
        <v>26</v>
      </c>
    </row>
    <row r="26" spans="1:8" s="6" customFormat="1" x14ac:dyDescent="0.35">
      <c r="A26" s="6" t="s">
        <v>27</v>
      </c>
    </row>
    <row r="27" spans="1:8" s="6" customFormat="1" x14ac:dyDescent="0.35">
      <c r="A27" s="6" t="s">
        <v>29</v>
      </c>
    </row>
    <row r="28" spans="1:8" s="5" customFormat="1" x14ac:dyDescent="0.35"/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31A2-417A-4A73-812C-EEE34872F0D8}">
  <dimension ref="A1:AD28"/>
  <sheetViews>
    <sheetView tabSelected="1" workbookViewId="0">
      <selection activeCell="AD17" sqref="AD17"/>
    </sheetView>
  </sheetViews>
  <sheetFormatPr defaultRowHeight="14.5" x14ac:dyDescent="0.35"/>
  <cols>
    <col min="3" max="3" width="20.36328125" customWidth="1"/>
    <col min="4" max="4" width="12.54296875" bestFit="1" customWidth="1"/>
    <col min="5" max="8" width="12.54296875" customWidth="1"/>
    <col min="9" max="13" width="14.90625" customWidth="1"/>
    <col min="14" max="18" width="11.81640625" customWidth="1"/>
    <col min="19" max="23" width="12.90625" customWidth="1"/>
    <col min="24" max="24" width="11.36328125" customWidth="1"/>
    <col min="25" max="25" width="11.1796875" customWidth="1"/>
    <col min="26" max="26" width="11.81640625" customWidth="1"/>
    <col min="27" max="27" width="11.08984375" customWidth="1"/>
    <col min="28" max="29" width="10" customWidth="1"/>
    <col min="30" max="30" width="12.26953125" customWidth="1"/>
  </cols>
  <sheetData>
    <row r="1" spans="1:30" x14ac:dyDescent="0.35">
      <c r="A1" t="s">
        <v>0</v>
      </c>
      <c r="C1" t="s">
        <v>23</v>
      </c>
    </row>
    <row r="2" spans="1:30" x14ac:dyDescent="0.35">
      <c r="D2" t="s">
        <v>17</v>
      </c>
      <c r="I2" t="s">
        <v>22</v>
      </c>
      <c r="N2" t="s">
        <v>4</v>
      </c>
      <c r="S2" t="s">
        <v>24</v>
      </c>
      <c r="X2" t="s">
        <v>28</v>
      </c>
      <c r="AD2" t="s">
        <v>32</v>
      </c>
    </row>
    <row r="3" spans="1:30" x14ac:dyDescent="0.35">
      <c r="A3" t="s">
        <v>1</v>
      </c>
      <c r="B3" t="s">
        <v>2</v>
      </c>
      <c r="C3" t="s">
        <v>3</v>
      </c>
      <c r="D3" s="9">
        <v>46023</v>
      </c>
      <c r="E3" s="9">
        <v>46024</v>
      </c>
      <c r="F3" s="9">
        <f t="shared" ref="F3:H3" si="0">E3+7</f>
        <v>46031</v>
      </c>
      <c r="G3" s="9">
        <f t="shared" si="0"/>
        <v>46038</v>
      </c>
      <c r="H3" s="9">
        <f t="shared" si="0"/>
        <v>46045</v>
      </c>
      <c r="I3" s="7">
        <v>46023</v>
      </c>
      <c r="J3" s="7">
        <f>I3+7</f>
        <v>46030</v>
      </c>
      <c r="K3" s="7">
        <f t="shared" ref="K3:M3" si="1">J3+7</f>
        <v>46037</v>
      </c>
      <c r="L3" s="7">
        <f t="shared" si="1"/>
        <v>46044</v>
      </c>
      <c r="M3" s="7">
        <f t="shared" si="1"/>
        <v>46051</v>
      </c>
      <c r="N3" s="11">
        <v>46023</v>
      </c>
      <c r="O3" s="11">
        <f>N3+7</f>
        <v>46030</v>
      </c>
      <c r="P3" s="11">
        <f t="shared" ref="P3:R3" si="2">O3+7</f>
        <v>46037</v>
      </c>
      <c r="Q3" s="11">
        <f t="shared" si="2"/>
        <v>46044</v>
      </c>
      <c r="R3" s="11">
        <f t="shared" si="2"/>
        <v>46051</v>
      </c>
      <c r="S3" s="13">
        <v>46023</v>
      </c>
      <c r="T3" s="13">
        <f>S3+7</f>
        <v>46030</v>
      </c>
      <c r="U3" s="13">
        <f t="shared" ref="U3:W3" si="3">T3+7</f>
        <v>46037</v>
      </c>
      <c r="V3" s="13">
        <f t="shared" si="3"/>
        <v>46044</v>
      </c>
      <c r="W3" s="13">
        <f t="shared" si="3"/>
        <v>46051</v>
      </c>
      <c r="X3" s="15">
        <v>46023</v>
      </c>
      <c r="Y3" s="15">
        <f>X3+7</f>
        <v>46030</v>
      </c>
      <c r="Z3" s="15">
        <f>Y3+7</f>
        <v>46037</v>
      </c>
      <c r="AA3" s="15">
        <f>Z3+7</f>
        <v>46044</v>
      </c>
      <c r="AB3" s="15">
        <f>AA3+7</f>
        <v>46051</v>
      </c>
      <c r="AC3" s="15"/>
    </row>
    <row r="4" spans="1:30" x14ac:dyDescent="0.35">
      <c r="A4" t="s">
        <v>5</v>
      </c>
      <c r="B4">
        <v>1</v>
      </c>
      <c r="C4" s="2">
        <v>10</v>
      </c>
      <c r="D4" s="10">
        <v>40</v>
      </c>
      <c r="E4" s="10">
        <v>35</v>
      </c>
      <c r="F4" s="10">
        <v>37</v>
      </c>
      <c r="G4" s="10">
        <v>38</v>
      </c>
      <c r="H4" s="10">
        <v>48</v>
      </c>
      <c r="I4" s="8">
        <f>IF(D4&gt;45,D4-45,0)</f>
        <v>0</v>
      </c>
      <c r="J4" s="8">
        <f>IF(E4&gt;45,E4-45,0)</f>
        <v>0</v>
      </c>
      <c r="K4" s="8">
        <f>IF(F4&gt;45,F4-45,0)</f>
        <v>0</v>
      </c>
      <c r="L4" s="8">
        <f>IF(G4&gt;45,G4-45,0)</f>
        <v>0</v>
      </c>
      <c r="M4" s="8">
        <f>IF(H4&gt;45,H4-45,0)</f>
        <v>3</v>
      </c>
      <c r="N4" s="12">
        <f>$C4*D4</f>
        <v>400</v>
      </c>
      <c r="O4" s="12">
        <f>$C4*E4</f>
        <v>350</v>
      </c>
      <c r="P4" s="12">
        <f t="shared" ref="P4:R15" si="4">$C4*F4</f>
        <v>370</v>
      </c>
      <c r="Q4" s="12">
        <f t="shared" si="4"/>
        <v>380</v>
      </c>
      <c r="R4" s="12">
        <f t="shared" si="4"/>
        <v>480</v>
      </c>
      <c r="S4" s="14">
        <f>0.5*$C4*I4</f>
        <v>0</v>
      </c>
      <c r="T4" s="14">
        <f t="shared" ref="T4:W15" si="5">0.5*$C4*J4</f>
        <v>0</v>
      </c>
      <c r="U4" s="14">
        <f t="shared" si="5"/>
        <v>0</v>
      </c>
      <c r="V4" s="14">
        <f t="shared" si="5"/>
        <v>0</v>
      </c>
      <c r="W4" s="14">
        <f t="shared" si="5"/>
        <v>15</v>
      </c>
      <c r="X4" s="16">
        <f>N4+S4</f>
        <v>400</v>
      </c>
      <c r="Y4" s="16">
        <f t="shared" ref="Y4:AB15" si="6">O4+T4</f>
        <v>350</v>
      </c>
      <c r="Z4" s="16">
        <f t="shared" si="6"/>
        <v>370</v>
      </c>
      <c r="AA4" s="16">
        <f t="shared" si="6"/>
        <v>380</v>
      </c>
      <c r="AB4" s="16">
        <f t="shared" si="6"/>
        <v>495</v>
      </c>
      <c r="AC4" s="16"/>
      <c r="AD4" s="2">
        <f>SUM(X4:AC4)</f>
        <v>1995</v>
      </c>
    </row>
    <row r="5" spans="1:30" x14ac:dyDescent="0.35">
      <c r="A5" t="s">
        <v>6</v>
      </c>
      <c r="B5">
        <v>2</v>
      </c>
      <c r="C5" s="2">
        <v>20</v>
      </c>
      <c r="D5" s="10">
        <v>50</v>
      </c>
      <c r="E5" s="10">
        <v>36</v>
      </c>
      <c r="F5" s="10">
        <v>47</v>
      </c>
      <c r="G5" s="10">
        <v>47</v>
      </c>
      <c r="H5" s="10">
        <v>50</v>
      </c>
      <c r="I5" s="8">
        <f t="shared" ref="I5:I15" si="7">IF(D5&gt;45,D5-45,0)</f>
        <v>5</v>
      </c>
      <c r="J5" s="8">
        <f t="shared" ref="J5:M15" si="8">IF(E5&gt;45,E5-45,0)</f>
        <v>0</v>
      </c>
      <c r="K5" s="8">
        <f t="shared" si="8"/>
        <v>2</v>
      </c>
      <c r="L5" s="8">
        <f t="shared" si="8"/>
        <v>2</v>
      </c>
      <c r="M5" s="8">
        <f t="shared" si="8"/>
        <v>5</v>
      </c>
      <c r="N5" s="12">
        <f t="shared" ref="N5:N15" si="9">$C5*D5</f>
        <v>1000</v>
      </c>
      <c r="O5" s="12">
        <f t="shared" ref="O5:O15" si="10">$C5*E5</f>
        <v>720</v>
      </c>
      <c r="P5" s="12">
        <f t="shared" si="4"/>
        <v>940</v>
      </c>
      <c r="Q5" s="12">
        <f t="shared" si="4"/>
        <v>940</v>
      </c>
      <c r="R5" s="12">
        <f t="shared" si="4"/>
        <v>1000</v>
      </c>
      <c r="S5" s="14">
        <f t="shared" ref="S5:S15" si="11">0.5*$C5*I5</f>
        <v>50</v>
      </c>
      <c r="T5" s="14">
        <f t="shared" si="5"/>
        <v>0</v>
      </c>
      <c r="U5" s="14">
        <f t="shared" si="5"/>
        <v>20</v>
      </c>
      <c r="V5" s="14">
        <f t="shared" si="5"/>
        <v>20</v>
      </c>
      <c r="W5" s="14">
        <f t="shared" si="5"/>
        <v>50</v>
      </c>
      <c r="X5" s="16">
        <f t="shared" ref="X5:X15" si="12">N5+S5</f>
        <v>1050</v>
      </c>
      <c r="Y5" s="16">
        <f t="shared" si="6"/>
        <v>720</v>
      </c>
      <c r="Z5" s="16">
        <f t="shared" si="6"/>
        <v>960</v>
      </c>
      <c r="AA5" s="16">
        <f t="shared" si="6"/>
        <v>960</v>
      </c>
      <c r="AB5" s="16">
        <f t="shared" si="6"/>
        <v>1050</v>
      </c>
      <c r="AC5" s="16"/>
      <c r="AD5" s="2">
        <f t="shared" ref="AD5:AD15" si="13">SUM(X5:AC5)</f>
        <v>4740</v>
      </c>
    </row>
    <row r="6" spans="1:30" x14ac:dyDescent="0.35">
      <c r="A6" t="s">
        <v>7</v>
      </c>
      <c r="B6">
        <v>3</v>
      </c>
      <c r="C6" s="2">
        <v>30</v>
      </c>
      <c r="D6" s="10">
        <v>54</v>
      </c>
      <c r="E6" s="10">
        <v>39</v>
      </c>
      <c r="F6" s="10">
        <v>52</v>
      </c>
      <c r="G6" s="10">
        <v>42</v>
      </c>
      <c r="H6" s="10">
        <v>48</v>
      </c>
      <c r="I6" s="8">
        <f t="shared" si="7"/>
        <v>9</v>
      </c>
      <c r="J6" s="8">
        <f t="shared" si="8"/>
        <v>0</v>
      </c>
      <c r="K6" s="8">
        <f t="shared" si="8"/>
        <v>7</v>
      </c>
      <c r="L6" s="8">
        <f t="shared" si="8"/>
        <v>0</v>
      </c>
      <c r="M6" s="8">
        <f t="shared" si="8"/>
        <v>3</v>
      </c>
      <c r="N6" s="12">
        <f t="shared" si="9"/>
        <v>1620</v>
      </c>
      <c r="O6" s="12">
        <f t="shared" si="10"/>
        <v>1170</v>
      </c>
      <c r="P6" s="12">
        <f t="shared" si="4"/>
        <v>1560</v>
      </c>
      <c r="Q6" s="12">
        <f t="shared" si="4"/>
        <v>1260</v>
      </c>
      <c r="R6" s="12">
        <f t="shared" si="4"/>
        <v>1440</v>
      </c>
      <c r="S6" s="14">
        <f t="shared" si="11"/>
        <v>135</v>
      </c>
      <c r="T6" s="14">
        <f t="shared" si="5"/>
        <v>0</v>
      </c>
      <c r="U6" s="14">
        <f t="shared" si="5"/>
        <v>105</v>
      </c>
      <c r="V6" s="14">
        <f t="shared" si="5"/>
        <v>0</v>
      </c>
      <c r="W6" s="14">
        <f t="shared" si="5"/>
        <v>45</v>
      </c>
      <c r="X6" s="16">
        <f t="shared" si="12"/>
        <v>1755</v>
      </c>
      <c r="Y6" s="16">
        <f t="shared" si="6"/>
        <v>1170</v>
      </c>
      <c r="Z6" s="16">
        <f t="shared" si="6"/>
        <v>1665</v>
      </c>
      <c r="AA6" s="16">
        <f t="shared" si="6"/>
        <v>1260</v>
      </c>
      <c r="AB6" s="16">
        <f t="shared" si="6"/>
        <v>1485</v>
      </c>
      <c r="AC6" s="16"/>
      <c r="AD6" s="2">
        <f t="shared" si="13"/>
        <v>7335</v>
      </c>
    </row>
    <row r="7" spans="1:30" x14ac:dyDescent="0.35">
      <c r="A7" t="s">
        <v>8</v>
      </c>
      <c r="B7">
        <v>4</v>
      </c>
      <c r="C7" s="2">
        <v>40</v>
      </c>
      <c r="D7" s="10">
        <v>57</v>
      </c>
      <c r="E7" s="10">
        <v>40</v>
      </c>
      <c r="F7" s="10">
        <v>39</v>
      </c>
      <c r="G7" s="10">
        <v>49</v>
      </c>
      <c r="H7" s="10">
        <v>42</v>
      </c>
      <c r="I7" s="8">
        <f t="shared" si="7"/>
        <v>12</v>
      </c>
      <c r="J7" s="8">
        <f t="shared" si="8"/>
        <v>0</v>
      </c>
      <c r="K7" s="8">
        <f t="shared" si="8"/>
        <v>0</v>
      </c>
      <c r="L7" s="8">
        <f t="shared" si="8"/>
        <v>4</v>
      </c>
      <c r="M7" s="8">
        <f t="shared" si="8"/>
        <v>0</v>
      </c>
      <c r="N7" s="12">
        <f t="shared" si="9"/>
        <v>2280</v>
      </c>
      <c r="O7" s="12">
        <f t="shared" si="10"/>
        <v>1600</v>
      </c>
      <c r="P7" s="12">
        <f t="shared" si="4"/>
        <v>1560</v>
      </c>
      <c r="Q7" s="12">
        <f t="shared" si="4"/>
        <v>1960</v>
      </c>
      <c r="R7" s="12">
        <f t="shared" si="4"/>
        <v>1680</v>
      </c>
      <c r="S7" s="14">
        <f t="shared" si="11"/>
        <v>240</v>
      </c>
      <c r="T7" s="14">
        <f t="shared" si="5"/>
        <v>0</v>
      </c>
      <c r="U7" s="14">
        <f t="shared" si="5"/>
        <v>0</v>
      </c>
      <c r="V7" s="14">
        <f t="shared" si="5"/>
        <v>80</v>
      </c>
      <c r="W7" s="14">
        <f t="shared" si="5"/>
        <v>0</v>
      </c>
      <c r="X7" s="16">
        <f t="shared" si="12"/>
        <v>2520</v>
      </c>
      <c r="Y7" s="16">
        <f t="shared" si="6"/>
        <v>1600</v>
      </c>
      <c r="Z7" s="16">
        <f t="shared" si="6"/>
        <v>1560</v>
      </c>
      <c r="AA7" s="16">
        <f t="shared" si="6"/>
        <v>2040</v>
      </c>
      <c r="AB7" s="16">
        <f t="shared" si="6"/>
        <v>1680</v>
      </c>
      <c r="AC7" s="16"/>
      <c r="AD7" s="2">
        <f t="shared" si="13"/>
        <v>9400</v>
      </c>
    </row>
    <row r="8" spans="1:30" x14ac:dyDescent="0.35">
      <c r="A8" t="s">
        <v>9</v>
      </c>
      <c r="B8">
        <v>5</v>
      </c>
      <c r="C8" s="2">
        <v>50</v>
      </c>
      <c r="D8" s="10">
        <v>44</v>
      </c>
      <c r="E8" s="10">
        <v>49</v>
      </c>
      <c r="F8" s="10">
        <v>42</v>
      </c>
      <c r="G8" s="10">
        <v>56</v>
      </c>
      <c r="H8" s="10">
        <v>47</v>
      </c>
      <c r="I8" s="8">
        <f t="shared" si="7"/>
        <v>0</v>
      </c>
      <c r="J8" s="8">
        <f t="shared" si="8"/>
        <v>4</v>
      </c>
      <c r="K8" s="8">
        <f t="shared" si="8"/>
        <v>0</v>
      </c>
      <c r="L8" s="8">
        <f t="shared" si="8"/>
        <v>11</v>
      </c>
      <c r="M8" s="8">
        <f t="shared" si="8"/>
        <v>2</v>
      </c>
      <c r="N8" s="12">
        <f t="shared" si="9"/>
        <v>2200</v>
      </c>
      <c r="O8" s="12">
        <f t="shared" si="10"/>
        <v>2450</v>
      </c>
      <c r="P8" s="12">
        <f t="shared" si="4"/>
        <v>2100</v>
      </c>
      <c r="Q8" s="12">
        <f t="shared" si="4"/>
        <v>2800</v>
      </c>
      <c r="R8" s="12">
        <f t="shared" si="4"/>
        <v>2350</v>
      </c>
      <c r="S8" s="14">
        <f t="shared" si="11"/>
        <v>0</v>
      </c>
      <c r="T8" s="14">
        <f t="shared" si="5"/>
        <v>100</v>
      </c>
      <c r="U8" s="14">
        <f t="shared" si="5"/>
        <v>0</v>
      </c>
      <c r="V8" s="14">
        <f t="shared" si="5"/>
        <v>275</v>
      </c>
      <c r="W8" s="14">
        <f t="shared" si="5"/>
        <v>50</v>
      </c>
      <c r="X8" s="16">
        <f t="shared" si="12"/>
        <v>2200</v>
      </c>
      <c r="Y8" s="16">
        <f t="shared" si="6"/>
        <v>2550</v>
      </c>
      <c r="Z8" s="16">
        <f t="shared" si="6"/>
        <v>2100</v>
      </c>
      <c r="AA8" s="16">
        <f t="shared" si="6"/>
        <v>3075</v>
      </c>
      <c r="AB8" s="16">
        <f t="shared" si="6"/>
        <v>2400</v>
      </c>
      <c r="AC8" s="16"/>
      <c r="AD8" s="2">
        <f t="shared" si="13"/>
        <v>12325</v>
      </c>
    </row>
    <row r="9" spans="1:30" x14ac:dyDescent="0.35">
      <c r="A9" t="s">
        <v>10</v>
      </c>
      <c r="B9">
        <v>6</v>
      </c>
      <c r="C9" s="2">
        <v>60</v>
      </c>
      <c r="D9" s="10">
        <v>45</v>
      </c>
      <c r="E9" s="10">
        <v>46</v>
      </c>
      <c r="F9" s="10">
        <v>45</v>
      </c>
      <c r="G9" s="10">
        <v>40</v>
      </c>
      <c r="H9" s="10">
        <v>49</v>
      </c>
      <c r="I9" s="8">
        <f t="shared" si="7"/>
        <v>0</v>
      </c>
      <c r="J9" s="8">
        <f t="shared" si="8"/>
        <v>1</v>
      </c>
      <c r="K9" s="8">
        <f t="shared" si="8"/>
        <v>0</v>
      </c>
      <c r="L9" s="8">
        <f t="shared" si="8"/>
        <v>0</v>
      </c>
      <c r="M9" s="8">
        <f t="shared" si="8"/>
        <v>4</v>
      </c>
      <c r="N9" s="12">
        <f t="shared" si="9"/>
        <v>2700</v>
      </c>
      <c r="O9" s="12">
        <f t="shared" si="10"/>
        <v>2760</v>
      </c>
      <c r="P9" s="12">
        <f t="shared" si="4"/>
        <v>2700</v>
      </c>
      <c r="Q9" s="12">
        <f t="shared" si="4"/>
        <v>2400</v>
      </c>
      <c r="R9" s="12">
        <f t="shared" si="4"/>
        <v>2940</v>
      </c>
      <c r="S9" s="14">
        <f t="shared" si="11"/>
        <v>0</v>
      </c>
      <c r="T9" s="14">
        <f t="shared" si="5"/>
        <v>30</v>
      </c>
      <c r="U9" s="14">
        <f t="shared" si="5"/>
        <v>0</v>
      </c>
      <c r="V9" s="14">
        <f t="shared" si="5"/>
        <v>0</v>
      </c>
      <c r="W9" s="14">
        <f t="shared" si="5"/>
        <v>120</v>
      </c>
      <c r="X9" s="16">
        <f t="shared" si="12"/>
        <v>2700</v>
      </c>
      <c r="Y9" s="16">
        <f t="shared" si="6"/>
        <v>2790</v>
      </c>
      <c r="Z9" s="16">
        <f t="shared" si="6"/>
        <v>2700</v>
      </c>
      <c r="AA9" s="16">
        <f t="shared" si="6"/>
        <v>2400</v>
      </c>
      <c r="AB9" s="16">
        <f t="shared" si="6"/>
        <v>3060</v>
      </c>
      <c r="AC9" s="16"/>
      <c r="AD9" s="2">
        <f t="shared" si="13"/>
        <v>13650</v>
      </c>
    </row>
    <row r="10" spans="1:30" x14ac:dyDescent="0.35">
      <c r="A10" t="s">
        <v>11</v>
      </c>
      <c r="B10">
        <v>7</v>
      </c>
      <c r="C10" s="2">
        <v>70</v>
      </c>
      <c r="D10" s="10">
        <v>46</v>
      </c>
      <c r="E10" s="10">
        <v>48</v>
      </c>
      <c r="F10" s="10">
        <v>44</v>
      </c>
      <c r="G10" s="10">
        <v>41</v>
      </c>
      <c r="H10" s="10">
        <v>41</v>
      </c>
      <c r="I10" s="8">
        <f t="shared" si="7"/>
        <v>1</v>
      </c>
      <c r="J10" s="8">
        <f t="shared" si="8"/>
        <v>3</v>
      </c>
      <c r="K10" s="8">
        <f t="shared" si="8"/>
        <v>0</v>
      </c>
      <c r="L10" s="8">
        <f t="shared" si="8"/>
        <v>0</v>
      </c>
      <c r="M10" s="8">
        <f t="shared" si="8"/>
        <v>0</v>
      </c>
      <c r="N10" s="12">
        <f t="shared" si="9"/>
        <v>3220</v>
      </c>
      <c r="O10" s="12">
        <f t="shared" si="10"/>
        <v>3360</v>
      </c>
      <c r="P10" s="12">
        <f t="shared" si="4"/>
        <v>3080</v>
      </c>
      <c r="Q10" s="12">
        <f t="shared" si="4"/>
        <v>2870</v>
      </c>
      <c r="R10" s="12">
        <f t="shared" si="4"/>
        <v>2870</v>
      </c>
      <c r="S10" s="14">
        <f t="shared" si="11"/>
        <v>35</v>
      </c>
      <c r="T10" s="14">
        <f t="shared" si="5"/>
        <v>105</v>
      </c>
      <c r="U10" s="14">
        <f t="shared" si="5"/>
        <v>0</v>
      </c>
      <c r="V10" s="14">
        <f t="shared" si="5"/>
        <v>0</v>
      </c>
      <c r="W10" s="14">
        <f t="shared" si="5"/>
        <v>0</v>
      </c>
      <c r="X10" s="16">
        <f t="shared" si="12"/>
        <v>3255</v>
      </c>
      <c r="Y10" s="16">
        <f t="shared" si="6"/>
        <v>3465</v>
      </c>
      <c r="Z10" s="16">
        <f t="shared" si="6"/>
        <v>3080</v>
      </c>
      <c r="AA10" s="16">
        <f t="shared" si="6"/>
        <v>2870</v>
      </c>
      <c r="AB10" s="16">
        <f t="shared" si="6"/>
        <v>2870</v>
      </c>
      <c r="AC10" s="16"/>
      <c r="AD10" s="2">
        <f t="shared" si="13"/>
        <v>15540</v>
      </c>
    </row>
    <row r="11" spans="1:30" x14ac:dyDescent="0.35">
      <c r="A11" t="s">
        <v>12</v>
      </c>
      <c r="B11">
        <v>8</v>
      </c>
      <c r="C11" s="2">
        <v>80</v>
      </c>
      <c r="D11" s="10">
        <v>47</v>
      </c>
      <c r="E11" s="10">
        <v>47</v>
      </c>
      <c r="F11" s="10">
        <v>41</v>
      </c>
      <c r="G11" s="10">
        <v>48</v>
      </c>
      <c r="H11" s="10">
        <v>40</v>
      </c>
      <c r="I11" s="8">
        <f t="shared" si="7"/>
        <v>2</v>
      </c>
      <c r="J11" s="8">
        <f t="shared" si="8"/>
        <v>2</v>
      </c>
      <c r="K11" s="8">
        <f t="shared" si="8"/>
        <v>0</v>
      </c>
      <c r="L11" s="8">
        <f t="shared" si="8"/>
        <v>3</v>
      </c>
      <c r="M11" s="8">
        <f t="shared" si="8"/>
        <v>0</v>
      </c>
      <c r="N11" s="12">
        <f t="shared" si="9"/>
        <v>3760</v>
      </c>
      <c r="O11" s="12">
        <f t="shared" si="10"/>
        <v>3760</v>
      </c>
      <c r="P11" s="12">
        <f t="shared" si="4"/>
        <v>3280</v>
      </c>
      <c r="Q11" s="12">
        <f t="shared" si="4"/>
        <v>3840</v>
      </c>
      <c r="R11" s="12">
        <f t="shared" si="4"/>
        <v>3200</v>
      </c>
      <c r="S11" s="14">
        <f t="shared" si="11"/>
        <v>80</v>
      </c>
      <c r="T11" s="14">
        <f t="shared" si="5"/>
        <v>80</v>
      </c>
      <c r="U11" s="14">
        <f t="shared" si="5"/>
        <v>0</v>
      </c>
      <c r="V11" s="14">
        <f t="shared" si="5"/>
        <v>120</v>
      </c>
      <c r="W11" s="14">
        <f t="shared" si="5"/>
        <v>0</v>
      </c>
      <c r="X11" s="16">
        <f t="shared" si="12"/>
        <v>3840</v>
      </c>
      <c r="Y11" s="16">
        <f t="shared" si="6"/>
        <v>3840</v>
      </c>
      <c r="Z11" s="16">
        <f t="shared" si="6"/>
        <v>3280</v>
      </c>
      <c r="AA11" s="16">
        <f t="shared" si="6"/>
        <v>3960</v>
      </c>
      <c r="AB11" s="16">
        <f t="shared" si="6"/>
        <v>3200</v>
      </c>
      <c r="AC11" s="16"/>
      <c r="AD11" s="2">
        <f t="shared" si="13"/>
        <v>18120</v>
      </c>
    </row>
    <row r="12" spans="1:30" x14ac:dyDescent="0.35">
      <c r="A12" t="s">
        <v>13</v>
      </c>
      <c r="B12">
        <v>9</v>
      </c>
      <c r="C12" s="2">
        <v>90</v>
      </c>
      <c r="D12" s="10">
        <v>42</v>
      </c>
      <c r="E12" s="10">
        <v>45</v>
      </c>
      <c r="F12" s="10">
        <v>40</v>
      </c>
      <c r="G12" s="10">
        <v>47</v>
      </c>
      <c r="H12" s="10">
        <v>49</v>
      </c>
      <c r="I12" s="8">
        <f t="shared" si="7"/>
        <v>0</v>
      </c>
      <c r="J12" s="8">
        <f t="shared" si="8"/>
        <v>0</v>
      </c>
      <c r="K12" s="8">
        <f t="shared" si="8"/>
        <v>0</v>
      </c>
      <c r="L12" s="8">
        <f t="shared" si="8"/>
        <v>2</v>
      </c>
      <c r="M12" s="8">
        <f t="shared" si="8"/>
        <v>4</v>
      </c>
      <c r="N12" s="12">
        <f t="shared" si="9"/>
        <v>3780</v>
      </c>
      <c r="O12" s="12">
        <f t="shared" si="10"/>
        <v>4050</v>
      </c>
      <c r="P12" s="12">
        <f t="shared" si="4"/>
        <v>3600</v>
      </c>
      <c r="Q12" s="12">
        <f t="shared" si="4"/>
        <v>4230</v>
      </c>
      <c r="R12" s="12">
        <f t="shared" si="4"/>
        <v>4410</v>
      </c>
      <c r="S12" s="14">
        <f t="shared" si="11"/>
        <v>0</v>
      </c>
      <c r="T12" s="14">
        <f t="shared" si="5"/>
        <v>0</v>
      </c>
      <c r="U12" s="14">
        <f t="shared" si="5"/>
        <v>0</v>
      </c>
      <c r="V12" s="14">
        <f t="shared" si="5"/>
        <v>90</v>
      </c>
      <c r="W12" s="14">
        <f t="shared" si="5"/>
        <v>180</v>
      </c>
      <c r="X12" s="16">
        <f t="shared" si="12"/>
        <v>3780</v>
      </c>
      <c r="Y12" s="16">
        <f t="shared" si="6"/>
        <v>4050</v>
      </c>
      <c r="Z12" s="16">
        <f t="shared" si="6"/>
        <v>3600</v>
      </c>
      <c r="AA12" s="16">
        <f t="shared" si="6"/>
        <v>4320</v>
      </c>
      <c r="AB12" s="16">
        <f t="shared" si="6"/>
        <v>4590</v>
      </c>
      <c r="AC12" s="16"/>
      <c r="AD12" s="2">
        <f t="shared" si="13"/>
        <v>20340</v>
      </c>
    </row>
    <row r="13" spans="1:30" x14ac:dyDescent="0.35">
      <c r="A13" t="s">
        <v>14</v>
      </c>
      <c r="B13">
        <v>10</v>
      </c>
      <c r="C13" s="2">
        <v>100</v>
      </c>
      <c r="D13" s="10">
        <v>43</v>
      </c>
      <c r="E13" s="10">
        <v>45</v>
      </c>
      <c r="F13" s="10">
        <v>48</v>
      </c>
      <c r="G13" s="10">
        <v>42</v>
      </c>
      <c r="H13" s="10">
        <v>46</v>
      </c>
      <c r="I13" s="8">
        <f t="shared" si="7"/>
        <v>0</v>
      </c>
      <c r="J13" s="8">
        <f t="shared" si="8"/>
        <v>0</v>
      </c>
      <c r="K13" s="8">
        <f t="shared" si="8"/>
        <v>3</v>
      </c>
      <c r="L13" s="8">
        <f t="shared" si="8"/>
        <v>0</v>
      </c>
      <c r="M13" s="8">
        <f t="shared" si="8"/>
        <v>1</v>
      </c>
      <c r="N13" s="12">
        <f t="shared" si="9"/>
        <v>4300</v>
      </c>
      <c r="O13" s="12">
        <f t="shared" si="10"/>
        <v>4500</v>
      </c>
      <c r="P13" s="12">
        <f t="shared" si="4"/>
        <v>4800</v>
      </c>
      <c r="Q13" s="12">
        <f t="shared" si="4"/>
        <v>4200</v>
      </c>
      <c r="R13" s="12">
        <f t="shared" si="4"/>
        <v>4600</v>
      </c>
      <c r="S13" s="14">
        <f t="shared" si="11"/>
        <v>0</v>
      </c>
      <c r="T13" s="14">
        <f t="shared" si="5"/>
        <v>0</v>
      </c>
      <c r="U13" s="14">
        <f t="shared" si="5"/>
        <v>150</v>
      </c>
      <c r="V13" s="14">
        <f t="shared" si="5"/>
        <v>0</v>
      </c>
      <c r="W13" s="14">
        <f t="shared" si="5"/>
        <v>50</v>
      </c>
      <c r="X13" s="16">
        <f t="shared" si="12"/>
        <v>4300</v>
      </c>
      <c r="Y13" s="16">
        <f t="shared" si="6"/>
        <v>4500</v>
      </c>
      <c r="Z13" s="16">
        <f t="shared" si="6"/>
        <v>4950</v>
      </c>
      <c r="AA13" s="16">
        <f t="shared" si="6"/>
        <v>4200</v>
      </c>
      <c r="AB13" s="16">
        <f t="shared" si="6"/>
        <v>4650</v>
      </c>
      <c r="AC13" s="16"/>
      <c r="AD13" s="2">
        <f t="shared" si="13"/>
        <v>22600</v>
      </c>
    </row>
    <row r="14" spans="1:30" x14ac:dyDescent="0.35">
      <c r="A14" t="s">
        <v>15</v>
      </c>
      <c r="B14">
        <v>11</v>
      </c>
      <c r="C14" s="2">
        <v>110</v>
      </c>
      <c r="D14" s="10">
        <v>44</v>
      </c>
      <c r="E14" s="10">
        <v>50</v>
      </c>
      <c r="F14" s="10">
        <v>49</v>
      </c>
      <c r="G14" s="10">
        <v>43</v>
      </c>
      <c r="H14" s="10">
        <v>40</v>
      </c>
      <c r="I14" s="8">
        <f t="shared" si="7"/>
        <v>0</v>
      </c>
      <c r="J14" s="8">
        <f t="shared" si="8"/>
        <v>5</v>
      </c>
      <c r="K14" s="8">
        <f t="shared" si="8"/>
        <v>4</v>
      </c>
      <c r="L14" s="8">
        <f t="shared" si="8"/>
        <v>0</v>
      </c>
      <c r="M14" s="8">
        <f t="shared" si="8"/>
        <v>0</v>
      </c>
      <c r="N14" s="12">
        <f t="shared" si="9"/>
        <v>4840</v>
      </c>
      <c r="O14" s="12">
        <f t="shared" si="10"/>
        <v>5500</v>
      </c>
      <c r="P14" s="12">
        <f t="shared" si="4"/>
        <v>5390</v>
      </c>
      <c r="Q14" s="12">
        <f t="shared" si="4"/>
        <v>4730</v>
      </c>
      <c r="R14" s="12">
        <f t="shared" si="4"/>
        <v>4400</v>
      </c>
      <c r="S14" s="14">
        <f t="shared" si="11"/>
        <v>0</v>
      </c>
      <c r="T14" s="14">
        <f t="shared" si="5"/>
        <v>275</v>
      </c>
      <c r="U14" s="14">
        <f t="shared" si="5"/>
        <v>220</v>
      </c>
      <c r="V14" s="14">
        <f t="shared" si="5"/>
        <v>0</v>
      </c>
      <c r="W14" s="14">
        <f t="shared" si="5"/>
        <v>0</v>
      </c>
      <c r="X14" s="16">
        <f t="shared" si="12"/>
        <v>4840</v>
      </c>
      <c r="Y14" s="16">
        <f t="shared" si="6"/>
        <v>5775</v>
      </c>
      <c r="Z14" s="16">
        <f t="shared" si="6"/>
        <v>5610</v>
      </c>
      <c r="AA14" s="16">
        <f t="shared" si="6"/>
        <v>4730</v>
      </c>
      <c r="AB14" s="16">
        <f t="shared" si="6"/>
        <v>4400</v>
      </c>
      <c r="AC14" s="16"/>
      <c r="AD14" s="2">
        <f t="shared" si="13"/>
        <v>25355</v>
      </c>
    </row>
    <row r="15" spans="1:30" x14ac:dyDescent="0.35">
      <c r="A15" t="s">
        <v>16</v>
      </c>
      <c r="B15">
        <v>12</v>
      </c>
      <c r="C15" s="2">
        <v>120</v>
      </c>
      <c r="D15" s="10">
        <v>45</v>
      </c>
      <c r="E15" s="10">
        <v>42</v>
      </c>
      <c r="F15" s="10">
        <v>43</v>
      </c>
      <c r="G15" s="10">
        <v>44</v>
      </c>
      <c r="H15" s="10">
        <v>41</v>
      </c>
      <c r="I15" s="8">
        <f t="shared" si="7"/>
        <v>0</v>
      </c>
      <c r="J15" s="8">
        <f t="shared" si="8"/>
        <v>0</v>
      </c>
      <c r="K15" s="8">
        <f t="shared" si="8"/>
        <v>0</v>
      </c>
      <c r="L15" s="8">
        <f t="shared" si="8"/>
        <v>0</v>
      </c>
      <c r="M15" s="8">
        <f t="shared" si="8"/>
        <v>0</v>
      </c>
      <c r="N15" s="12">
        <f t="shared" si="9"/>
        <v>5400</v>
      </c>
      <c r="O15" s="12">
        <f t="shared" si="10"/>
        <v>5040</v>
      </c>
      <c r="P15" s="12">
        <f t="shared" si="4"/>
        <v>5160</v>
      </c>
      <c r="Q15" s="12">
        <f t="shared" si="4"/>
        <v>5280</v>
      </c>
      <c r="R15" s="12">
        <f t="shared" si="4"/>
        <v>4920</v>
      </c>
      <c r="S15" s="14">
        <f t="shared" si="11"/>
        <v>0</v>
      </c>
      <c r="T15" s="14">
        <f t="shared" si="5"/>
        <v>0</v>
      </c>
      <c r="U15" s="14">
        <f t="shared" si="5"/>
        <v>0</v>
      </c>
      <c r="V15" s="14">
        <f t="shared" si="5"/>
        <v>0</v>
      </c>
      <c r="W15" s="14">
        <f t="shared" si="5"/>
        <v>0</v>
      </c>
      <c r="X15" s="16">
        <f t="shared" si="12"/>
        <v>5400</v>
      </c>
      <c r="Y15" s="16">
        <f t="shared" si="6"/>
        <v>5040</v>
      </c>
      <c r="Z15" s="16">
        <f t="shared" si="6"/>
        <v>5160</v>
      </c>
      <c r="AA15" s="16">
        <f t="shared" si="6"/>
        <v>5280</v>
      </c>
      <c r="AB15" s="16">
        <f t="shared" si="6"/>
        <v>4920</v>
      </c>
      <c r="AC15" s="16"/>
      <c r="AD15" s="2">
        <f t="shared" si="13"/>
        <v>25800</v>
      </c>
    </row>
    <row r="17" spans="1:30" x14ac:dyDescent="0.35">
      <c r="A17" t="s">
        <v>18</v>
      </c>
      <c r="C17" s="2">
        <f>MAX(C4:C15)</f>
        <v>120</v>
      </c>
      <c r="D17" s="3">
        <f>MAX(D4:D15)</f>
        <v>57</v>
      </c>
      <c r="E17" s="3"/>
      <c r="F17" s="3"/>
      <c r="G17" s="3"/>
      <c r="H17" s="3"/>
      <c r="I17" s="3"/>
      <c r="J17" s="3"/>
      <c r="K17" s="3"/>
      <c r="L17" s="3"/>
      <c r="M17" s="3"/>
      <c r="N17" s="2">
        <f>MAX(N4:N15)</f>
        <v>5400</v>
      </c>
      <c r="O17" s="2">
        <f t="shared" ref="O17:S17" si="14">MAX(O4:O15)</f>
        <v>5500</v>
      </c>
      <c r="P17" s="2">
        <f t="shared" si="14"/>
        <v>5390</v>
      </c>
      <c r="Q17" s="2">
        <f t="shared" si="14"/>
        <v>5280</v>
      </c>
      <c r="R17" s="2">
        <f t="shared" si="14"/>
        <v>4920</v>
      </c>
      <c r="S17" s="2">
        <f t="shared" si="14"/>
        <v>240</v>
      </c>
      <c r="T17" s="2">
        <f t="shared" ref="T17:AB17" si="15">MAX(T4:T15)</f>
        <v>275</v>
      </c>
      <c r="U17" s="2">
        <f t="shared" si="15"/>
        <v>220</v>
      </c>
      <c r="V17" s="2">
        <f t="shared" si="15"/>
        <v>275</v>
      </c>
      <c r="W17" s="2">
        <f t="shared" si="15"/>
        <v>180</v>
      </c>
      <c r="X17" s="2">
        <f t="shared" si="15"/>
        <v>5400</v>
      </c>
      <c r="Y17" s="2">
        <f t="shared" si="15"/>
        <v>5775</v>
      </c>
      <c r="Z17" s="2">
        <f t="shared" si="15"/>
        <v>5610</v>
      </c>
      <c r="AA17" s="2">
        <f t="shared" si="15"/>
        <v>5280</v>
      </c>
      <c r="AB17" s="2">
        <f t="shared" si="15"/>
        <v>4920</v>
      </c>
      <c r="AC17" s="2"/>
      <c r="AD17" s="2">
        <f t="shared" ref="AC17:AD17" si="16">MAX(AD4:AD15)</f>
        <v>25800</v>
      </c>
    </row>
    <row r="18" spans="1:30" x14ac:dyDescent="0.35">
      <c r="A18" t="s">
        <v>19</v>
      </c>
      <c r="C18" s="2">
        <f>MIN(C4:C15)</f>
        <v>10</v>
      </c>
      <c r="D18" s="3">
        <f>MIN(D4:D15)</f>
        <v>40</v>
      </c>
      <c r="E18" s="3"/>
      <c r="F18" s="3"/>
      <c r="G18" s="3"/>
      <c r="H18" s="3"/>
      <c r="I18" s="3"/>
      <c r="J18" s="3"/>
      <c r="K18" s="3"/>
      <c r="L18" s="3"/>
      <c r="M18" s="3"/>
      <c r="N18" s="2">
        <f>MIN(N4:N15)</f>
        <v>400</v>
      </c>
      <c r="O18" s="2">
        <f t="shared" ref="O18:S18" si="17">MIN(O4:O15)</f>
        <v>350</v>
      </c>
      <c r="P18" s="2">
        <f t="shared" si="17"/>
        <v>370</v>
      </c>
      <c r="Q18" s="2">
        <f t="shared" si="17"/>
        <v>380</v>
      </c>
      <c r="R18" s="2">
        <f t="shared" si="17"/>
        <v>480</v>
      </c>
      <c r="S18" s="2">
        <f t="shared" si="17"/>
        <v>0</v>
      </c>
      <c r="T18" s="2">
        <f t="shared" ref="T18:AB18" si="18">MIN(T4:T15)</f>
        <v>0</v>
      </c>
      <c r="U18" s="2">
        <f t="shared" si="18"/>
        <v>0</v>
      </c>
      <c r="V18" s="2">
        <f t="shared" si="18"/>
        <v>0</v>
      </c>
      <c r="W18" s="2">
        <f t="shared" si="18"/>
        <v>0</v>
      </c>
      <c r="X18" s="2">
        <f t="shared" si="18"/>
        <v>400</v>
      </c>
      <c r="Y18" s="2">
        <f t="shared" si="18"/>
        <v>350</v>
      </c>
      <c r="Z18" s="2">
        <f t="shared" si="18"/>
        <v>370</v>
      </c>
      <c r="AA18" s="2">
        <f t="shared" si="18"/>
        <v>380</v>
      </c>
      <c r="AB18" s="2">
        <f t="shared" si="18"/>
        <v>495</v>
      </c>
      <c r="AC18" s="2"/>
      <c r="AD18" s="2">
        <f t="shared" ref="AC18:AD18" si="19">MIN(AD4:AD15)</f>
        <v>1995</v>
      </c>
    </row>
    <row r="19" spans="1:30" x14ac:dyDescent="0.35">
      <c r="A19" t="s">
        <v>20</v>
      </c>
      <c r="C19" s="2">
        <f>AVERAGE(C4:C15)</f>
        <v>65</v>
      </c>
      <c r="D19" s="3">
        <f>AVERAGE(D4:D15)</f>
        <v>46.416666666666664</v>
      </c>
      <c r="E19" s="3"/>
      <c r="F19" s="3"/>
      <c r="G19" s="3"/>
      <c r="H19" s="3"/>
      <c r="I19" s="3"/>
      <c r="J19" s="3"/>
      <c r="K19" s="3"/>
      <c r="L19" s="3"/>
      <c r="M19" s="3"/>
      <c r="N19" s="2">
        <f>AVERAGE(N4:N15)</f>
        <v>2958.3333333333335</v>
      </c>
      <c r="O19" s="2">
        <f t="shared" ref="O19:S19" si="20">AVERAGE(O4:O15)</f>
        <v>2938.3333333333335</v>
      </c>
      <c r="P19" s="2">
        <f t="shared" si="20"/>
        <v>2878.3333333333335</v>
      </c>
      <c r="Q19" s="2">
        <f t="shared" si="20"/>
        <v>2907.5</v>
      </c>
      <c r="R19" s="2">
        <f t="shared" si="20"/>
        <v>2857.5</v>
      </c>
      <c r="S19" s="2">
        <f t="shared" si="20"/>
        <v>45</v>
      </c>
      <c r="T19" s="2">
        <f t="shared" ref="T19:AB19" si="21">AVERAGE(T4:T15)</f>
        <v>49.166666666666664</v>
      </c>
      <c r="U19" s="2">
        <f t="shared" si="21"/>
        <v>41.25</v>
      </c>
      <c r="V19" s="2">
        <f t="shared" si="21"/>
        <v>48.75</v>
      </c>
      <c r="W19" s="2">
        <f t="shared" si="21"/>
        <v>42.5</v>
      </c>
      <c r="X19" s="2">
        <f t="shared" si="21"/>
        <v>3003.3333333333335</v>
      </c>
      <c r="Y19" s="2">
        <f t="shared" si="21"/>
        <v>2987.5</v>
      </c>
      <c r="Z19" s="2">
        <f t="shared" si="21"/>
        <v>2919.5833333333335</v>
      </c>
      <c r="AA19" s="2">
        <f t="shared" si="21"/>
        <v>2956.25</v>
      </c>
      <c r="AB19" s="2">
        <f t="shared" si="21"/>
        <v>2900</v>
      </c>
      <c r="AC19" s="2"/>
      <c r="AD19" s="2">
        <f t="shared" ref="AC19:AD19" si="22">AVERAGE(AD4:AD15)</f>
        <v>14766.666666666666</v>
      </c>
    </row>
    <row r="20" spans="1:30" x14ac:dyDescent="0.35">
      <c r="A20" t="s">
        <v>21</v>
      </c>
      <c r="D20" s="3">
        <f>SUM(D17:D19)</f>
        <v>143.41666666666666</v>
      </c>
      <c r="E20" s="3"/>
      <c r="F20" s="3"/>
      <c r="G20" s="3"/>
      <c r="H20" s="3"/>
      <c r="I20" s="3"/>
      <c r="J20" s="3"/>
      <c r="K20" s="3"/>
      <c r="L20" s="3"/>
      <c r="M20" s="3"/>
      <c r="N20" s="2">
        <f>SUM(N17:N19)</f>
        <v>8758.3333333333339</v>
      </c>
      <c r="O20" s="2">
        <f t="shared" ref="O20:S20" si="23">SUM(O17:O19)</f>
        <v>8788.3333333333339</v>
      </c>
      <c r="P20" s="2">
        <f t="shared" si="23"/>
        <v>8638.3333333333339</v>
      </c>
      <c r="Q20" s="2">
        <f t="shared" si="23"/>
        <v>8567.5</v>
      </c>
      <c r="R20" s="2">
        <f t="shared" si="23"/>
        <v>8257.5</v>
      </c>
      <c r="S20" s="2">
        <f t="shared" si="23"/>
        <v>285</v>
      </c>
      <c r="T20" s="2">
        <f t="shared" ref="T20" si="24">SUM(T17:T19)</f>
        <v>324.16666666666669</v>
      </c>
      <c r="U20" s="2">
        <f t="shared" ref="U20" si="25">SUM(U17:U19)</f>
        <v>261.25</v>
      </c>
      <c r="V20" s="2">
        <f t="shared" ref="V20" si="26">SUM(V17:V19)</f>
        <v>323.75</v>
      </c>
      <c r="W20" s="2">
        <f t="shared" ref="W20:X20" si="27">SUM(W17:W19)</f>
        <v>222.5</v>
      </c>
      <c r="X20" s="2">
        <f t="shared" si="27"/>
        <v>8803.3333333333339</v>
      </c>
      <c r="Y20" s="2">
        <f t="shared" ref="Y20" si="28">SUM(Y17:Y19)</f>
        <v>9112.5</v>
      </c>
      <c r="Z20" s="2">
        <f t="shared" ref="Z20" si="29">SUM(Z17:Z19)</f>
        <v>8899.5833333333339</v>
      </c>
      <c r="AA20" s="2">
        <f t="shared" ref="AA20" si="30">SUM(AA17:AA19)</f>
        <v>8616.25</v>
      </c>
      <c r="AB20" s="2">
        <f t="shared" ref="AB20" si="31">SUM(AB17:AB19)</f>
        <v>8315</v>
      </c>
      <c r="AC20" s="2"/>
      <c r="AD20" s="2">
        <f t="shared" ref="AD20" si="32">SUM(AD17:AD19)</f>
        <v>42561.666666666664</v>
      </c>
    </row>
    <row r="23" spans="1:30" x14ac:dyDescent="0.35">
      <c r="A23" t="s">
        <v>25</v>
      </c>
    </row>
    <row r="25" spans="1:30" s="4" customFormat="1" x14ac:dyDescent="0.35">
      <c r="A25" s="4" t="s">
        <v>26</v>
      </c>
    </row>
    <row r="26" spans="1:30" s="4" customFormat="1" x14ac:dyDescent="0.35">
      <c r="A26" s="4" t="s">
        <v>27</v>
      </c>
    </row>
    <row r="27" spans="1:30" s="4" customFormat="1" x14ac:dyDescent="0.35">
      <c r="A27" s="4" t="s">
        <v>29</v>
      </c>
    </row>
    <row r="28" spans="1:30" s="4" customFormat="1" x14ac:dyDescent="0.35">
      <c r="A28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Assignment1</vt:lpstr>
      <vt:lpstr>Bonus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Lalasa Mortha</dc:creator>
  <cp:lastModifiedBy>Lalasa Mortha</cp:lastModifiedBy>
  <dcterms:created xsi:type="dcterms:W3CDTF">2026-04-15T11:33:01Z</dcterms:created>
  <dcterms:modified xsi:type="dcterms:W3CDTF">2026-04-16T05:52:16Z</dcterms:modified>
</cp:coreProperties>
</file>